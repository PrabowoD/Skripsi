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3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Nila"/>
    <sheet r:id="rId2" sheetId="2" name="Lele"/>
    <sheet r:id="rId3" sheetId="3" name="Mas"/>
  </sheets>
  <calcPr fullCalcOnLoad="1"/>
</workbook>
</file>

<file path=xl/sharedStrings.xml><?xml version="1.0" encoding="utf-8"?>
<sst xmlns="http://schemas.openxmlformats.org/spreadsheetml/2006/main" count="34" uniqueCount="21">
  <si>
    <t>no</t>
  </si>
  <si>
    <t>panjang</t>
  </si>
  <si>
    <t>lebar</t>
  </si>
  <si>
    <t>berat</t>
  </si>
  <si>
    <t>keliling</t>
  </si>
  <si>
    <t>berat/keliling</t>
  </si>
  <si>
    <t>rata-rata berat/keliling ikan</t>
  </si>
  <si>
    <t>nama_file</t>
  </si>
  <si>
    <t>Ikan_Nila_induk_1</t>
  </si>
  <si>
    <t>Ikan_Nila_induk_2</t>
  </si>
  <si>
    <t>Ikan_Nila_induk_3</t>
  </si>
  <si>
    <t>Ikan_Nila_kdua_4</t>
  </si>
  <si>
    <t>Ikan_Nila_kdua_5</t>
  </si>
  <si>
    <t>Ikan_Nila_kdua_6</t>
  </si>
  <si>
    <t>Ikan_Nila_kdua_7</t>
  </si>
  <si>
    <t>Ikan_Nila_kdua_8</t>
  </si>
  <si>
    <t>Ikan_Nila_Kbawah_9</t>
  </si>
  <si>
    <t>Ikan_Nila_Kbawah_10</t>
  </si>
  <si>
    <t>Ikan_Nila_Kbawah_11</t>
  </si>
  <si>
    <t>Ikan_Nila_Kbawah_12</t>
  </si>
  <si>
    <t>Ikan_Nila_Kbawah_13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</si>
</sst>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3" x14ac:knownFonts="1"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32">
    <xf xfId="0" numFmtId="0" borderId="0" fontId="0" fillId="0"/>
    <xf xfId="0" numFmtId="3" applyNumberFormat="1" borderId="1" applyBorder="1" fontId="1" applyFont="1" fillId="0" applyAlignment="1">
      <alignment horizontal="left"/>
    </xf>
    <xf xfId="0" numFmtId="3" applyNumberFormat="1" borderId="2" applyBorder="1" fontId="1" applyFont="1" fillId="0" applyAlignment="1">
      <alignment horizontal="left"/>
    </xf>
    <xf xfId="0" numFmtId="0" borderId="3" applyBorder="1" fontId="2" applyFont="1" fillId="0" applyAlignment="1">
      <alignment horizontal="left"/>
    </xf>
    <xf xfId="0" numFmtId="0" borderId="2" applyBorder="1" fontId="2" applyFont="1" fillId="0" applyAlignment="1">
      <alignment horizontal="left"/>
    </xf>
    <xf xfId="0" numFmtId="3" applyNumberFormat="1" borderId="4" applyBorder="1" fontId="1" applyFont="1" fillId="0" applyAlignment="1">
      <alignment horizontal="right"/>
    </xf>
    <xf xfId="0" numFmtId="3" applyNumberFormat="1" borderId="5" applyBorder="1" fontId="1" applyFont="1" fillId="0" applyAlignment="1">
      <alignment horizontal="right"/>
    </xf>
    <xf xfId="0" numFmtId="3" applyNumberFormat="1" borderId="6" applyBorder="1" fontId="2" applyFont="1" fillId="0" applyAlignment="1">
      <alignment horizontal="right"/>
    </xf>
    <xf xfId="0" numFmtId="4" applyNumberFormat="1" borderId="2" applyBorder="1" fontId="2" applyFont="1" fillId="0" applyAlignment="1">
      <alignment horizontal="right"/>
    </xf>
    <xf xfId="0" numFmtId="4" applyNumberFormat="1" borderId="5" applyBorder="1" fontId="2" applyFont="1" fillId="0" applyAlignment="1">
      <alignment horizontal="right"/>
    </xf>
    <xf xfId="0" numFmtId="3" applyNumberFormat="1" borderId="7" applyBorder="1" fontId="1" applyFont="1" fillId="0" applyAlignment="1">
      <alignment horizontal="right"/>
    </xf>
    <xf xfId="0" numFmtId="3" applyNumberFormat="1" borderId="8" applyBorder="1" fontId="1" applyFont="1" fillId="0" applyAlignment="1">
      <alignment horizontal="right"/>
    </xf>
    <xf xfId="0" numFmtId="3" applyNumberFormat="1" borderId="9" applyBorder="1" fontId="2" applyFont="1" fillId="0" applyAlignment="1">
      <alignment horizontal="right"/>
    </xf>
    <xf xfId="0" numFmtId="4" applyNumberFormat="1" borderId="8" applyBorder="1" fontId="2" applyFont="1" fillId="0" applyAlignment="1">
      <alignment horizontal="right"/>
    </xf>
    <xf xfId="0" numFmtId="3" applyNumberFormat="1" borderId="10" applyBorder="1" fontId="2" applyFont="1" fillId="0" applyAlignment="1">
      <alignment horizontal="left"/>
    </xf>
    <xf xfId="0" numFmtId="4" applyNumberFormat="1" borderId="10" applyBorder="1" fontId="2" applyFont="1" fillId="0" applyAlignment="1">
      <alignment horizontal="right"/>
    </xf>
    <xf xfId="0" numFmtId="3" applyNumberFormat="1" borderId="10" applyBorder="1" fontId="2" applyFont="1" fillId="0" applyAlignment="1">
      <alignment horizontal="right"/>
    </xf>
    <xf xfId="0" numFmtId="3" applyNumberFormat="1" borderId="5" applyBorder="1" fontId="2" applyFont="1" fillId="0" applyAlignment="1">
      <alignment horizontal="left"/>
    </xf>
    <xf xfId="0" numFmtId="3" applyNumberFormat="1" borderId="0" fontId="0" fillId="0" applyAlignment="1">
      <alignment horizontal="left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right"/>
    </xf>
    <xf xfId="0" numFmtId="3" applyNumberFormat="1" borderId="5" applyBorder="1" fontId="2" applyFont="1" fillId="0" applyAlignment="1">
      <alignment horizontal="right"/>
    </xf>
    <xf xfId="0" numFmtId="4" applyNumberFormat="1" borderId="6" applyBorder="1" fontId="2" applyFont="1" fillId="0" applyAlignment="1">
      <alignment horizontal="right"/>
    </xf>
    <xf xfId="0" numFmtId="3" applyNumberFormat="1" borderId="8" applyBorder="1" fontId="2" applyFont="1" fillId="0" applyAlignment="1">
      <alignment horizontal="right"/>
    </xf>
    <xf xfId="0" numFmtId="4" applyNumberFormat="1" borderId="9" applyBorder="1" fontId="2" applyFont="1" fillId="0" applyAlignment="1">
      <alignment horizontal="right"/>
    </xf>
    <xf xfId="0" numFmtId="0" borderId="10" applyBorder="1" fontId="1" applyFont="1" fillId="0" applyAlignment="1">
      <alignment horizontal="left"/>
    </xf>
    <xf xfId="0" numFmtId="3" applyNumberFormat="1" borderId="10" applyBorder="1" fontId="1" applyFont="1" fillId="0" applyAlignment="1">
      <alignment horizontal="left"/>
    </xf>
    <xf xfId="0" numFmtId="0" borderId="10" applyBorder="1" fontId="2" applyFont="1" fillId="0" applyAlignment="1">
      <alignment horizontal="left"/>
    </xf>
    <xf xfId="0" numFmtId="0" borderId="10" applyBorder="1" fontId="1" applyFont="1" fillId="0" applyAlignment="1">
      <alignment horizontal="right"/>
    </xf>
    <xf xfId="0" numFmtId="3" applyNumberFormat="1" borderId="10" applyBorder="1" fontId="1" applyFont="1" fillId="0" applyAlignment="1">
      <alignment horizontal="right"/>
    </xf>
    <xf xfId="0" numFmtId="0" borderId="5" applyBorder="1" fontId="2" applyFont="1" fillId="0" applyAlignment="1">
      <alignment horizontal="left"/>
    </xf>
    <xf xfId="0" numFmtId="0" borderId="0" fontId="0" fillId="0" applyAlignment="1">
      <alignment horizontal="lef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sharedStrings.xml" Type="http://schemas.openxmlformats.org/officeDocument/2006/relationships/sharedStrings" Id="rId4"/><Relationship Target="styles.xml" Type="http://schemas.openxmlformats.org/officeDocument/2006/relationships/styles" Id="rId5"/><Relationship Target="theme/theme1.xml" Type="http://schemas.openxmlformats.org/officeDocument/2006/relationships/theme" Id="rId6"/></Relationships>
</file>

<file path=xl/tables/table1.xml><?xml version="1.0" encoding="utf-8"?>
<table xmlns="http://schemas.openxmlformats.org/spreadsheetml/2006/main" ref="A1:F7" displayName="Table2" name="Table2" id="1" totalsRowShown="0">
  <autoFilter ref="A1:F7"/>
  <tableColumns count="6">
    <tableColumn name="no" id="1"/>
    <tableColumn name="panjang" id="2"/>
    <tableColumn name="lebar" id="3"/>
    <tableColumn name="berat" id="4"/>
    <tableColumn name="keliling" id="5"/>
    <tableColumn name="berat/keliling" id="6"/>
  </tableColumns>
  <tableStyleInfo name="TableStyleLight1" showColumnStripes="0" showRowStripes="1" showLastColumn="1" showFirstColumn="1"/>
</table>
</file>

<file path=xl/tables/table2.xml><?xml version="1.0" encoding="utf-8"?>
<table xmlns="http://schemas.openxmlformats.org/spreadsheetml/2006/main" ref="A1:F14" displayName="Table3" name="Table3" id="2" totalsRowShown="0">
  <autoFilter ref="A1:F14"/>
  <tableColumns count="6">
    <tableColumn name="no" id="1"/>
    <tableColumn name="panjang" id="2"/>
    <tableColumn name="lebar" id="3"/>
    <tableColumn name="berat" id="4"/>
    <tableColumn name="keliling" id="5"/>
    <tableColumn name="berat/keliling" id="6"/>
  </tableColumns>
  <tableStyleInfo name="TableStyleLight1" showColumnStripes="0" showRowStripes="1" showLastColumn="1" showFirstColumn="1"/>
</table>
</file>

<file path=xl/tables/table3.xml><?xml version="1.0" encoding="utf-8"?>
<table xmlns="http://schemas.openxmlformats.org/spreadsheetml/2006/main" ref="A1:F14" displayName="Table1" name="Table1" id="3" totalsRowShown="0">
  <autoFilter ref="A1:F14"/>
  <tableColumns count="6">
    <tableColumn name="nama_file" id="1"/>
    <tableColumn name="panjang" id="2"/>
    <tableColumn name="lebar" id="3"/>
    <tableColumn name="berat" id="4"/>
    <tableColumn name="keliling" id="5"/>
    <tableColumn name="berat/keliling" id="6"/>
  </tableColumns>
  <tableStyleInfo name="TableStyleLight1" showColumnStripes="0" showRowStripes="1" showLastColumn="1" showFirstColumn="1"/>
</table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Target="../tables/table3.xml" Type="http://schemas.openxmlformats.org/officeDocument/2006/relationships/table" Id="rId1"/></Relationships>
</file>

<file path=xl/worksheets/_rels/sheet2.xml.rels><?xml version="1.0" encoding="UTF-8" standalone="yes"?><Relationships xmlns="http://schemas.openxmlformats.org/package/2006/relationships"><Relationship Target="../tables/table2.xml" Type="http://schemas.openxmlformats.org/officeDocument/2006/relationships/table" Id="rId1"/></Relationships>
</file>

<file path=xl/worksheets/_rels/sheet3.xml.rels><?xml version="1.0" encoding="UTF-8" standalone="yes"?><Relationships xmlns="http://schemas.openxmlformats.org/package/2006/relationships"><Relationship Target="../tables/table1.xml" Type="http://schemas.openxmlformats.org/officeDocument/2006/relationships/table" Id="rId1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16"/>
  <sheetViews>
    <sheetView workbookViewId="0" tabSelected="1">
      <pane state="frozen" activePane="bottomLeft" topLeftCell="A2" ySplit="1" xSplit="0"/>
    </sheetView>
  </sheetViews>
  <sheetFormatPr defaultRowHeight="15" x14ac:dyDescent="0.25"/>
  <cols>
    <col min="1" max="1" style="31" width="22.862142857142857" customWidth="1" bestFit="1"/>
    <col min="2" max="2" style="18" width="13.576428571428572" customWidth="1" bestFit="1"/>
    <col min="3" max="3" style="19" width="13.576428571428572" customWidth="1" bestFit="1"/>
    <col min="4" max="4" style="19" width="13.576428571428572" customWidth="1" bestFit="1"/>
    <col min="5" max="5" style="20" width="13.576428571428572" customWidth="1" bestFit="1"/>
    <col min="6" max="6" style="20" width="13.576428571428572" customWidth="1" bestFit="1"/>
  </cols>
  <sheetData>
    <row x14ac:dyDescent="0.25" r="1" customHeight="1" ht="22.5">
      <c r="A1" s="25" t="s">
        <v>7</v>
      </c>
      <c r="B1" s="26" t="s">
        <v>1</v>
      </c>
      <c r="C1" s="26" t="s">
        <v>2</v>
      </c>
      <c r="D1" s="26" t="s">
        <v>3</v>
      </c>
      <c r="E1" s="27" t="s">
        <v>4</v>
      </c>
      <c r="F1" s="27" t="s">
        <v>5</v>
      </c>
    </row>
    <row x14ac:dyDescent="0.25" r="2" customHeight="1" ht="19.5">
      <c r="A2" s="28" t="s">
        <v>8</v>
      </c>
      <c r="B2" s="29">
        <v>33</v>
      </c>
      <c r="C2" s="29">
        <v>14</v>
      </c>
      <c r="D2" s="29">
        <v>670</v>
      </c>
      <c r="E2" s="16">
        <f>2*(Table1[[#This Row], [panjang]]+Table1[[#This Row], [lebar]])</f>
      </c>
      <c r="F2" s="15">
        <f>Table1[[#This Row], [berat]]/Table1[[#This Row], [keliling]]</f>
      </c>
    </row>
    <row x14ac:dyDescent="0.25" r="3" customHeight="1" ht="19.5">
      <c r="A3" s="28" t="s">
        <v>9</v>
      </c>
      <c r="B3" s="29">
        <v>31</v>
      </c>
      <c r="C3" s="29">
        <v>12</v>
      </c>
      <c r="D3" s="29">
        <v>450</v>
      </c>
      <c r="E3" s="16">
        <f>2*(Table1[[#This Row], [panjang]]+Table1[[#This Row], [lebar]])</f>
      </c>
      <c r="F3" s="15">
        <f>Table1[[#This Row], [berat]]/Table1[[#This Row], [keliling]]</f>
      </c>
    </row>
    <row x14ac:dyDescent="0.25" r="4" customHeight="1" ht="19.5">
      <c r="A4" s="28" t="s">
        <v>10</v>
      </c>
      <c r="B4" s="29">
        <v>28</v>
      </c>
      <c r="C4" s="29">
        <v>11</v>
      </c>
      <c r="D4" s="29">
        <v>370</v>
      </c>
      <c r="E4" s="16">
        <f>2*(Table1[[#This Row], [panjang]]+Table1[[#This Row], [lebar]])</f>
      </c>
      <c r="F4" s="15">
        <f>Table1[[#This Row], [berat]]/Table1[[#This Row], [keliling]]</f>
      </c>
    </row>
    <row x14ac:dyDescent="0.25" r="5" customHeight="1" ht="19.5">
      <c r="A5" s="28" t="s">
        <v>11</v>
      </c>
      <c r="B5" s="29">
        <v>19</v>
      </c>
      <c r="C5" s="29">
        <v>6</v>
      </c>
      <c r="D5" s="29">
        <v>135</v>
      </c>
      <c r="E5" s="16">
        <f>2*(Table1[[#This Row], [panjang]]+Table1[[#This Row], [lebar]])</f>
      </c>
      <c r="F5" s="15">
        <f>Table1[[#This Row], [berat]]/Table1[[#This Row], [keliling]]</f>
      </c>
    </row>
    <row x14ac:dyDescent="0.25" r="6" customHeight="1" ht="19.5">
      <c r="A6" s="28" t="s">
        <v>12</v>
      </c>
      <c r="B6" s="29">
        <v>25</v>
      </c>
      <c r="C6" s="29">
        <v>9</v>
      </c>
      <c r="D6" s="29">
        <v>260</v>
      </c>
      <c r="E6" s="16">
        <f>2*(Table1[[#This Row], [panjang]]+Table1[[#This Row], [lebar]])</f>
      </c>
      <c r="F6" s="15">
        <f>Table1[[#This Row], [berat]]/Table1[[#This Row], [keliling]]</f>
      </c>
    </row>
    <row x14ac:dyDescent="0.25" r="7" customHeight="1" ht="19.5">
      <c r="A7" s="28" t="s">
        <v>13</v>
      </c>
      <c r="B7" s="29">
        <v>23</v>
      </c>
      <c r="C7" s="29">
        <v>8</v>
      </c>
      <c r="D7" s="29">
        <v>225</v>
      </c>
      <c r="E7" s="16">
        <f>2*(Table1[[#This Row], [panjang]]+Table1[[#This Row], [lebar]])</f>
      </c>
      <c r="F7" s="15">
        <f>Table1[[#This Row], [berat]]/Table1[[#This Row], [keliling]]</f>
      </c>
    </row>
    <row x14ac:dyDescent="0.25" r="8" customHeight="1" ht="19.5">
      <c r="A8" s="28" t="s">
        <v>14</v>
      </c>
      <c r="B8" s="29">
        <v>24</v>
      </c>
      <c r="C8" s="29">
        <v>8</v>
      </c>
      <c r="D8" s="29">
        <v>220</v>
      </c>
      <c r="E8" s="16">
        <f>2*(Table1[[#This Row], [panjang]]+Table1[[#This Row], [lebar]])</f>
      </c>
      <c r="F8" s="15">
        <f>Table1[[#This Row], [berat]]/Table1[[#This Row], [keliling]]</f>
      </c>
    </row>
    <row x14ac:dyDescent="0.25" r="9" customHeight="1" ht="19.5">
      <c r="A9" s="28" t="s">
        <v>15</v>
      </c>
      <c r="B9" s="29">
        <v>24</v>
      </c>
      <c r="C9" s="29">
        <v>8</v>
      </c>
      <c r="D9" s="29">
        <v>200</v>
      </c>
      <c r="E9" s="16">
        <f>2*(Table1[[#This Row], [panjang]]+Table1[[#This Row], [lebar]])</f>
      </c>
      <c r="F9" s="15">
        <f>Table1[[#This Row], [berat]]/Table1[[#This Row], [keliling]]</f>
      </c>
    </row>
    <row x14ac:dyDescent="0.25" r="10" customHeight="1" ht="19.5">
      <c r="A10" s="28" t="s">
        <v>16</v>
      </c>
      <c r="B10" s="29">
        <v>24</v>
      </c>
      <c r="C10" s="29">
        <v>7</v>
      </c>
      <c r="D10" s="29">
        <v>180</v>
      </c>
      <c r="E10" s="16">
        <f>2*(Table1[[#This Row], [panjang]]+Table1[[#This Row], [lebar]])</f>
      </c>
      <c r="F10" s="15">
        <f>Table1[[#This Row], [berat]]/Table1[[#This Row], [keliling]]</f>
      </c>
    </row>
    <row x14ac:dyDescent="0.25" r="11" customHeight="1" ht="19.5">
      <c r="A11" s="28" t="s">
        <v>17</v>
      </c>
      <c r="B11" s="29">
        <v>22</v>
      </c>
      <c r="C11" s="29">
        <v>8</v>
      </c>
      <c r="D11" s="29">
        <v>180</v>
      </c>
      <c r="E11" s="16">
        <f>2*(Table1[[#This Row], [panjang]]+Table1[[#This Row], [lebar]])</f>
      </c>
      <c r="F11" s="16">
        <f>Table1[[#This Row], [berat]]/Table1[[#This Row], [keliling]]</f>
      </c>
    </row>
    <row x14ac:dyDescent="0.25" r="12" customHeight="1" ht="19.5">
      <c r="A12" s="28" t="s">
        <v>18</v>
      </c>
      <c r="B12" s="29">
        <v>20</v>
      </c>
      <c r="C12" s="29">
        <v>7</v>
      </c>
      <c r="D12" s="29">
        <v>160</v>
      </c>
      <c r="E12" s="16">
        <f>2*(Table1[[#This Row], [panjang]]+Table1[[#This Row], [lebar]])</f>
      </c>
      <c r="F12" s="15">
        <f>Table1[[#This Row], [berat]]/Table1[[#This Row], [keliling]]</f>
      </c>
    </row>
    <row x14ac:dyDescent="0.25" r="13" customHeight="1" ht="19.5">
      <c r="A13" s="28" t="s">
        <v>19</v>
      </c>
      <c r="B13" s="29">
        <v>19</v>
      </c>
      <c r="C13" s="29">
        <v>7</v>
      </c>
      <c r="D13" s="29">
        <v>120</v>
      </c>
      <c r="E13" s="16">
        <f>2*(Table1[[#This Row], [panjang]]+Table1[[#This Row], [lebar]])</f>
      </c>
      <c r="F13" s="15">
        <f>Table1[[#This Row], [berat]]/Table1[[#This Row], [keliling]]</f>
      </c>
    </row>
    <row x14ac:dyDescent="0.25" r="14" customHeight="1" ht="19.5">
      <c r="A14" s="28" t="s">
        <v>20</v>
      </c>
      <c r="B14" s="29">
        <v>20</v>
      </c>
      <c r="C14" s="29">
        <v>6</v>
      </c>
      <c r="D14" s="29">
        <v>140</v>
      </c>
      <c r="E14" s="16">
        <f>2*(Table1[[#This Row], [panjang]]+Table1[[#This Row], [lebar]])</f>
      </c>
      <c r="F14" s="15">
        <f>Table1[[#This Row], [berat]]/Table1[[#This Row], [keliling]]</f>
      </c>
    </row>
    <row x14ac:dyDescent="0.25" r="15" customHeight="1" ht="19.5">
      <c r="A15" s="14"/>
      <c r="B15" s="14"/>
      <c r="C15" s="15"/>
      <c r="D15" s="16"/>
      <c r="E15" s="16"/>
      <c r="F15" s="15"/>
    </row>
    <row x14ac:dyDescent="0.25" r="16" customHeight="1" ht="20.25">
      <c r="A16" s="30" t="s">
        <v>6</v>
      </c>
      <c r="B16" s="17"/>
      <c r="C16" s="9">
        <f>AVERAGE(Table1[berat/keliling])</f>
      </c>
      <c r="D16" s="16"/>
      <c r="E16" s="16"/>
      <c r="F16" s="15"/>
    </row>
  </sheetData>
  <mergeCells count="1">
    <mergeCell ref="A16:B16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17"/>
  <sheetViews>
    <sheetView workbookViewId="0">
      <pane state="frozen" activePane="bottomLeft" topLeftCell="A2" ySplit="1" xSplit="0"/>
    </sheetView>
  </sheetViews>
  <sheetFormatPr defaultRowHeight="15" x14ac:dyDescent="0.25"/>
  <cols>
    <col min="1" max="1" style="18" width="13.576428571428572" customWidth="1" bestFit="1"/>
    <col min="2" max="2" style="18" width="13.576428571428572" customWidth="1" bestFit="1"/>
    <col min="3" max="3" style="19" width="13.576428571428572" customWidth="1" bestFit="1"/>
    <col min="4" max="4" style="19" width="13.576428571428572" customWidth="1" bestFit="1"/>
    <col min="5" max="5" style="20" width="13.576428571428572" customWidth="1" bestFit="1"/>
    <col min="6" max="6" style="20" width="19.14785714285714" customWidth="1" bestFit="1"/>
  </cols>
  <sheetData>
    <row x14ac:dyDescent="0.25" r="1" customHeight="1" ht="22.5">
      <c r="A1" s="1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3" t="s">
        <v>5</v>
      </c>
    </row>
    <row x14ac:dyDescent="0.25" r="2" customHeight="1" ht="22.5">
      <c r="A2" s="5">
        <v>1</v>
      </c>
      <c r="B2" s="6">
        <v>52</v>
      </c>
      <c r="C2" s="6">
        <v>8</v>
      </c>
      <c r="D2" s="6">
        <v>830</v>
      </c>
      <c r="E2" s="21">
        <f>2*(Table3[[#This Row], [panjang]]+Table3[[#This Row], [lebar]])</f>
      </c>
      <c r="F2" s="22">
        <f>Table3[[#This Row], [berat]]/Table3[[#This Row], [keliling]]</f>
      </c>
    </row>
    <row x14ac:dyDescent="0.25" r="3" customHeight="1" ht="22.5">
      <c r="A3" s="5">
        <v>2</v>
      </c>
      <c r="B3" s="6">
        <v>54</v>
      </c>
      <c r="C3" s="6">
        <v>9</v>
      </c>
      <c r="D3" s="6">
        <v>940</v>
      </c>
      <c r="E3" s="21">
        <f>2*(Table3[[#This Row], [panjang]]+Table3[[#This Row], [lebar]])</f>
      </c>
      <c r="F3" s="22">
        <f>Table3[[#This Row], [berat]]/Table3[[#This Row], [keliling]]</f>
      </c>
    </row>
    <row x14ac:dyDescent="0.25" r="4" customHeight="1" ht="22.5">
      <c r="A4" s="5">
        <v>3</v>
      </c>
      <c r="B4" s="6">
        <v>53</v>
      </c>
      <c r="C4" s="6">
        <v>8</v>
      </c>
      <c r="D4" s="6">
        <v>880</v>
      </c>
      <c r="E4" s="21">
        <f>2*(Table3[[#This Row], [panjang]]+Table3[[#This Row], [lebar]])</f>
      </c>
      <c r="F4" s="22">
        <f>Table3[[#This Row], [berat]]/Table3[[#This Row], [keliling]]</f>
      </c>
    </row>
    <row x14ac:dyDescent="0.25" r="5" customHeight="1" ht="22.5">
      <c r="A5" s="5">
        <v>4</v>
      </c>
      <c r="B5" s="6">
        <v>39</v>
      </c>
      <c r="C5" s="6">
        <v>7</v>
      </c>
      <c r="D5" s="6">
        <v>430</v>
      </c>
      <c r="E5" s="21">
        <f>2*(Table3[[#This Row], [panjang]]+Table3[[#This Row], [lebar]])</f>
      </c>
      <c r="F5" s="22">
        <f>Table3[[#This Row], [berat]]/Table3[[#This Row], [keliling]]</f>
      </c>
    </row>
    <row x14ac:dyDescent="0.25" r="6" customHeight="1" ht="22.5">
      <c r="A6" s="5">
        <v>5</v>
      </c>
      <c r="B6" s="6">
        <v>41</v>
      </c>
      <c r="C6" s="6">
        <v>7</v>
      </c>
      <c r="D6" s="6">
        <v>460</v>
      </c>
      <c r="E6" s="21">
        <f>2*(Table3[[#This Row], [panjang]]+Table3[[#This Row], [lebar]])</f>
      </c>
      <c r="F6" s="22">
        <f>Table3[[#This Row], [berat]]/Table3[[#This Row], [keliling]]</f>
      </c>
    </row>
    <row x14ac:dyDescent="0.25" r="7" customHeight="1" ht="22.5">
      <c r="A7" s="5">
        <v>6</v>
      </c>
      <c r="B7" s="6">
        <v>35</v>
      </c>
      <c r="C7" s="6">
        <v>6</v>
      </c>
      <c r="D7" s="6">
        <v>350</v>
      </c>
      <c r="E7" s="21">
        <f>2*(Table3[[#This Row], [panjang]]+Table3[[#This Row], [lebar]])</f>
      </c>
      <c r="F7" s="22">
        <f>Table3[[#This Row], [berat]]/Table3[[#This Row], [keliling]]</f>
      </c>
    </row>
    <row x14ac:dyDescent="0.25" r="8" customHeight="1" ht="22.5">
      <c r="A8" s="5">
        <v>7</v>
      </c>
      <c r="B8" s="6">
        <v>35</v>
      </c>
      <c r="C8" s="6">
        <v>6</v>
      </c>
      <c r="D8" s="6">
        <v>320</v>
      </c>
      <c r="E8" s="21">
        <f>2*(Table3[[#This Row], [panjang]]+Table3[[#This Row], [lebar]])</f>
      </c>
      <c r="F8" s="22">
        <f>Table3[[#This Row], [berat]]/Table3[[#This Row], [keliling]]</f>
      </c>
    </row>
    <row x14ac:dyDescent="0.25" r="9" customHeight="1" ht="22.5">
      <c r="A9" s="5">
        <v>8</v>
      </c>
      <c r="B9" s="6">
        <v>28</v>
      </c>
      <c r="C9" s="6">
        <v>6</v>
      </c>
      <c r="D9" s="6">
        <v>140</v>
      </c>
      <c r="E9" s="21">
        <f>2*(Table3[[#This Row], [panjang]]+Table3[[#This Row], [lebar]])</f>
      </c>
      <c r="F9" s="22">
        <f>Table3[[#This Row], [berat]]/Table3[[#This Row], [keliling]]</f>
      </c>
    </row>
    <row x14ac:dyDescent="0.25" r="10" customHeight="1" ht="22.5">
      <c r="A10" s="5">
        <v>9</v>
      </c>
      <c r="B10" s="6">
        <v>27</v>
      </c>
      <c r="C10" s="6">
        <v>6</v>
      </c>
      <c r="D10" s="6">
        <v>160</v>
      </c>
      <c r="E10" s="21">
        <f>2*(Table3[[#This Row], [panjang]]+Table3[[#This Row], [lebar]])</f>
      </c>
      <c r="F10" s="22">
        <f>Table3[[#This Row], [berat]]/Table3[[#This Row], [keliling]]</f>
      </c>
    </row>
    <row x14ac:dyDescent="0.25" r="11" customHeight="1" ht="22.5">
      <c r="A11" s="5">
        <v>10</v>
      </c>
      <c r="B11" s="6">
        <v>27</v>
      </c>
      <c r="C11" s="6">
        <v>5</v>
      </c>
      <c r="D11" s="6">
        <v>100</v>
      </c>
      <c r="E11" s="21">
        <f>2*(Table3[[#This Row], [panjang]]+Table3[[#This Row], [lebar]])</f>
      </c>
      <c r="F11" s="22">
        <f>Table3[[#This Row], [berat]]/Table3[[#This Row], [keliling]]</f>
      </c>
    </row>
    <row x14ac:dyDescent="0.25" r="12" customHeight="1" ht="22.5">
      <c r="A12" s="5">
        <v>11</v>
      </c>
      <c r="B12" s="6">
        <v>25</v>
      </c>
      <c r="C12" s="6">
        <v>6</v>
      </c>
      <c r="D12" s="6">
        <v>120</v>
      </c>
      <c r="E12" s="21">
        <f>2*(Table3[[#This Row], [panjang]]+Table3[[#This Row], [lebar]])</f>
      </c>
      <c r="F12" s="22">
        <f>Table3[[#This Row], [berat]]/Table3[[#This Row], [keliling]]</f>
      </c>
    </row>
    <row x14ac:dyDescent="0.25" r="13" customHeight="1" ht="22.5">
      <c r="A13" s="5">
        <v>12</v>
      </c>
      <c r="B13" s="6">
        <v>20</v>
      </c>
      <c r="C13" s="6">
        <v>6</v>
      </c>
      <c r="D13" s="6">
        <v>220</v>
      </c>
      <c r="E13" s="21">
        <f>2*(Table3[[#This Row], [panjang]]+Table3[[#This Row], [lebar]])</f>
      </c>
      <c r="F13" s="22">
        <f>Table3[[#This Row], [berat]]/Table3[[#This Row], [keliling]]</f>
      </c>
    </row>
    <row x14ac:dyDescent="0.25" r="14" customHeight="1" ht="22.5">
      <c r="A14" s="10">
        <v>13</v>
      </c>
      <c r="B14" s="11">
        <v>28</v>
      </c>
      <c r="C14" s="11">
        <v>5</v>
      </c>
      <c r="D14" s="11">
        <v>170</v>
      </c>
      <c r="E14" s="23">
        <f>2*(Table3[[#This Row], [panjang]]+Table3[[#This Row], [lebar]])</f>
      </c>
      <c r="F14" s="24">
        <f>Table3[[#This Row], [berat]]/Table3[[#This Row], [keliling]]</f>
      </c>
    </row>
    <row x14ac:dyDescent="0.25" r="15" customHeight="1" ht="18.75">
      <c r="A15" s="14"/>
      <c r="B15" s="14"/>
      <c r="C15" s="15"/>
      <c r="D15" s="16"/>
      <c r="E15" s="16"/>
      <c r="F15" s="15"/>
    </row>
    <row x14ac:dyDescent="0.25" r="16" customHeight="1" ht="18.75">
      <c r="A16" s="14"/>
      <c r="B16" s="14"/>
      <c r="C16" s="15"/>
      <c r="D16" s="16"/>
      <c r="E16" s="16"/>
      <c r="F16" s="15"/>
    </row>
    <row x14ac:dyDescent="0.25" r="17" customHeight="1" ht="15.75">
      <c r="A17" s="17" t="s">
        <v>6</v>
      </c>
      <c r="B17" s="17"/>
      <c r="C17" s="9">
        <f>AVERAGE(Table3[berat/keliling])</f>
      </c>
      <c r="D17" s="16"/>
      <c r="E17" s="16"/>
      <c r="F17" s="15"/>
    </row>
  </sheetData>
  <mergeCells count="1">
    <mergeCell ref="A17:B17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9"/>
  <sheetViews>
    <sheetView workbookViewId="0">
      <pane state="frozen" activePane="bottomLeft" topLeftCell="A2" ySplit="1" xSplit="0"/>
    </sheetView>
  </sheetViews>
  <sheetFormatPr defaultRowHeight="15" x14ac:dyDescent="0.25"/>
  <cols>
    <col min="1" max="1" style="18" width="13.576428571428572" customWidth="1" bestFit="1"/>
    <col min="2" max="2" style="18" width="13.576428571428572" customWidth="1" bestFit="1"/>
    <col min="3" max="3" style="19" width="13.576428571428572" customWidth="1" bestFit="1"/>
    <col min="4" max="4" style="19" width="13.576428571428572" customWidth="1" bestFit="1"/>
    <col min="5" max="5" style="20" width="13.576428571428572" customWidth="1" bestFit="1"/>
    <col min="6" max="6" style="20" width="13.576428571428572" customWidth="1" bestFit="1"/>
  </cols>
  <sheetData>
    <row x14ac:dyDescent="0.25" r="1" customHeight="1" ht="22.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4" t="s">
        <v>5</v>
      </c>
    </row>
    <row x14ac:dyDescent="0.25" r="2" customHeight="1" ht="18.75">
      <c r="A2" s="5">
        <v>1</v>
      </c>
      <c r="B2" s="6">
        <v>34</v>
      </c>
      <c r="C2" s="6">
        <v>14</v>
      </c>
      <c r="D2" s="6">
        <v>740</v>
      </c>
      <c r="E2" s="7">
        <f>2*(Table2[[#This Row], [panjang]]+Table2[[#This Row], [lebar]])</f>
      </c>
      <c r="F2" s="8">
        <f>Table2[[#This Row], [berat]]/Table2[[#This Row], [keliling]]</f>
      </c>
    </row>
    <row x14ac:dyDescent="0.25" r="3" customHeight="1" ht="18.75">
      <c r="A3" s="5">
        <v>2</v>
      </c>
      <c r="B3" s="6">
        <v>29</v>
      </c>
      <c r="C3" s="6">
        <v>12</v>
      </c>
      <c r="D3" s="6">
        <v>500</v>
      </c>
      <c r="E3" s="7">
        <f>2*(Table2[[#This Row], [panjang]]+Table2[[#This Row], [lebar]])</f>
      </c>
      <c r="F3" s="9">
        <f>Table2[[#This Row], [berat]]/Table2[[#This Row], [keliling]]</f>
      </c>
    </row>
    <row x14ac:dyDescent="0.25" r="4" customHeight="1" ht="18.75">
      <c r="A4" s="5">
        <v>3</v>
      </c>
      <c r="B4" s="6">
        <v>37</v>
      </c>
      <c r="C4" s="6">
        <v>12</v>
      </c>
      <c r="D4" s="6">
        <v>764</v>
      </c>
      <c r="E4" s="7">
        <f>2*(Table2[[#This Row], [panjang]]+Table2[[#This Row], [lebar]])</f>
      </c>
      <c r="F4" s="9">
        <f>Table2[[#This Row], [berat]]/Table2[[#This Row], [keliling]]</f>
      </c>
    </row>
    <row x14ac:dyDescent="0.25" r="5" customHeight="1" ht="18.75">
      <c r="A5" s="5">
        <v>4</v>
      </c>
      <c r="B5" s="6">
        <v>31</v>
      </c>
      <c r="C5" s="6">
        <v>10</v>
      </c>
      <c r="D5" s="6">
        <v>464</v>
      </c>
      <c r="E5" s="7">
        <f>2*(Table2[[#This Row], [panjang]]+Table2[[#This Row], [lebar]])</f>
      </c>
      <c r="F5" s="9">
        <f>Table2[[#This Row], [berat]]/Table2[[#This Row], [keliling]]</f>
      </c>
    </row>
    <row x14ac:dyDescent="0.25" r="6" customHeight="1" ht="18.75">
      <c r="A6" s="5">
        <v>5</v>
      </c>
      <c r="B6" s="6">
        <v>24</v>
      </c>
      <c r="C6" s="6">
        <v>7</v>
      </c>
      <c r="D6" s="6">
        <v>230</v>
      </c>
      <c r="E6" s="7">
        <f>2*(Table2[[#This Row], [panjang]]+Table2[[#This Row], [lebar]])</f>
      </c>
      <c r="F6" s="9">
        <f>Table2[[#This Row], [berat]]/Table2[[#This Row], [keliling]]</f>
      </c>
    </row>
    <row x14ac:dyDescent="0.25" r="7" customHeight="1" ht="19.5">
      <c r="A7" s="10">
        <v>6</v>
      </c>
      <c r="B7" s="11">
        <v>26</v>
      </c>
      <c r="C7" s="11">
        <v>8</v>
      </c>
      <c r="D7" s="11">
        <v>312</v>
      </c>
      <c r="E7" s="12">
        <f>2*(Table2[[#This Row], [panjang]]+Table2[[#This Row], [lebar]])</f>
      </c>
      <c r="F7" s="13">
        <f>Table2[[#This Row], [berat]]/Table2[[#This Row], [keliling]]</f>
      </c>
    </row>
    <row x14ac:dyDescent="0.25" r="8" customHeight="1" ht="18.75">
      <c r="A8" s="14"/>
      <c r="B8" s="14"/>
      <c r="C8" s="15"/>
      <c r="D8" s="16"/>
      <c r="E8" s="16"/>
      <c r="F8" s="15"/>
    </row>
    <row x14ac:dyDescent="0.25" r="9" customHeight="1" ht="19.5">
      <c r="A9" s="17" t="s">
        <v>6</v>
      </c>
      <c r="B9" s="17"/>
      <c r="C9" s="9">
        <f>AVERAGE(Table2[berat/keliling])</f>
      </c>
      <c r="D9" s="16"/>
      <c r="E9" s="16"/>
      <c r="F9" s="15"/>
    </row>
  </sheetData>
  <mergeCells count="1">
    <mergeCell ref="A9:B9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3</vt:i4>
      </vt:variant>
    </vt:vector>
  </HeadingPairs>
  <TitlesOfParts>
    <vt:vector baseType="lpstr" size="3">
      <vt:lpstr>Nila</vt:lpstr>
      <vt:lpstr>Lele</vt:lpstr>
      <vt:lpstr>Mas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2026-04-16T23:39:19.043Z</dcterms:created>
  <dcterms:modified xsi:type="dcterms:W3CDTF">2026-04-16T23:39:19.043Z</dcterms:modified>
</cp:coreProperties>
</file>