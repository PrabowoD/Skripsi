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Skripsi\"/>
    </mc:Choice>
  </mc:AlternateContent>
  <xr:revisionPtr revIDLastSave="0" documentId="13_ncr:1_{681B3532-9D3F-46F1-817F-B35C2B9FBC62}" xr6:coauthVersionLast="47" xr6:coauthVersionMax="47" xr10:uidLastSave="{00000000-0000-0000-0000-000000000000}"/>
  <bookViews>
    <workbookView xWindow="2250" yWindow="2250" windowWidth="21600" windowHeight="11295" activeTab="1" xr2:uid="{00000000-000D-0000-FFFF-FFFF00000000}"/>
  </bookViews>
  <sheets>
    <sheet name="Nila" sheetId="1" r:id="rId1"/>
    <sheet name="Lele" sheetId="2" r:id="rId2"/>
    <sheet name="M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2" i="2"/>
  <c r="E3" i="2"/>
  <c r="E4" i="2"/>
  <c r="E5" i="2"/>
  <c r="E6" i="2"/>
  <c r="E7" i="2"/>
  <c r="E8" i="2"/>
  <c r="E9" i="2"/>
  <c r="E10" i="2"/>
  <c r="E11" i="2"/>
  <c r="E12" i="2"/>
  <c r="E13" i="2"/>
  <c r="E14" i="2"/>
  <c r="E2" i="1"/>
  <c r="E3" i="1"/>
  <c r="E4" i="1"/>
  <c r="E5" i="1"/>
  <c r="E6" i="1"/>
  <c r="E7" i="1"/>
  <c r="E8" i="1"/>
  <c r="E9" i="1"/>
  <c r="E10" i="1"/>
  <c r="E11" i="1"/>
  <c r="E12" i="1"/>
  <c r="E13" i="1"/>
  <c r="E14" i="1"/>
</calcChain>
</file>

<file path=xl/sharedStrings.xml><?xml version="1.0" encoding="utf-8"?>
<sst xmlns="http://schemas.openxmlformats.org/spreadsheetml/2006/main" count="15" uniqueCount="6">
  <si>
    <t>No</t>
  </si>
  <si>
    <t>panjang</t>
  </si>
  <si>
    <t>lebar</t>
  </si>
  <si>
    <t>berat</t>
  </si>
  <si>
    <t>no</t>
  </si>
  <si>
    <t>keliling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</si>
</sst>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5"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Nila-style" pivot="0" count="4" xr9:uid="{00000000-0011-0000-FFFF-FFFF00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Lele-style" pivot="0" count="4" xr9:uid="{00000000-0011-0000-FFFF-FFFF01000000}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Mas-style" pivot="0" count="4" xr9:uid="{00000000-0011-0000-FFFF-FFFF02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4">
  <tableColumns count="5">
    <tableColumn id="1" xr3:uid="{00000000-0010-0000-0000-000001000000}" name="No"/>
    <tableColumn id="2" xr3:uid="{00000000-0010-0000-0000-000002000000}" name="panjang"/>
    <tableColumn id="3" xr3:uid="{00000000-0010-0000-0000-000003000000}" name="lebar"/>
    <tableColumn id="4" xr3:uid="{00000000-0010-0000-0000-000004000000}" name="berat"/>
    <tableColumn id="5" xr3:uid="{1885EEF1-0826-428E-B64C-06DCD1628523}" name="keliling" dataDxfId="2">
      <calculatedColumnFormula>2*(Table1[[#This Row],[panjang]]+Table1[[#This Row],[lebar]])</calculatedColumnFormula>
    </tableColumn>
  </tableColumns>
  <tableStyleInfo name="Nil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E14">
  <tableColumns count="5">
    <tableColumn id="1" xr3:uid="{00000000-0010-0000-0100-000001000000}" name="no"/>
    <tableColumn id="2" xr3:uid="{00000000-0010-0000-0100-000002000000}" name="panjang"/>
    <tableColumn id="3" xr3:uid="{00000000-0010-0000-0100-000003000000}" name="lebar"/>
    <tableColumn id="4" xr3:uid="{00000000-0010-0000-0100-000004000000}" name="berat"/>
    <tableColumn id="5" xr3:uid="{CA7D37A4-A746-4926-AF89-2CA2CAC55042}" name="keliling" dataDxfId="1">
      <calculatedColumnFormula>2*(Table3[[#This Row],[panjang]]+Table3[[#This Row],[lebar]])</calculatedColumnFormula>
    </tableColumn>
  </tableColumns>
  <tableStyleInfo name="Lel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A1:E7">
  <tableColumns count="5">
    <tableColumn id="1" xr3:uid="{00000000-0010-0000-0200-000001000000}" name="no"/>
    <tableColumn id="2" xr3:uid="{00000000-0010-0000-0200-000002000000}" name="panjang"/>
    <tableColumn id="3" xr3:uid="{00000000-0010-0000-0200-000003000000}" name="lebar"/>
    <tableColumn id="4" xr3:uid="{00000000-0010-0000-0200-000004000000}" name="berat"/>
    <tableColumn id="5" xr3:uid="{A5C78D61-A816-4091-AA64-4070BD54C270}" name="keliling" dataDxfId="0">
      <calculatedColumnFormula>2*(Table2[[#This Row],[panjang]]+Table2[[#This Row],[lebar]])</calculatedColumnFormula>
    </tableColumn>
  </tableColumns>
  <tableStyleInfo name="Ma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4"/>
  <sheetViews>
    <sheetView workbookViewId="0">
      <pane ySplit="1" topLeftCell="A2" activePane="bottomLeft" state="frozen"/>
      <selection pane="bottomLeft" activeCell="E2" sqref="E2"/>
    </sheetView>
  </sheetViews>
  <sheetFormatPr defaultColWidth="12.5703125" defaultRowHeight="15.75" customHeight="1" x14ac:dyDescent="0.2"/>
  <sheetData>
    <row r="1" spans="1:5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5</v>
      </c>
    </row>
    <row r="2" spans="1:5" ht="22.5" customHeight="1" x14ac:dyDescent="0.2">
      <c r="A2" s="2">
        <v>1</v>
      </c>
      <c r="B2" s="2">
        <v>33</v>
      </c>
      <c r="C2" s="2">
        <v>14</v>
      </c>
      <c r="D2" s="2">
        <v>670</v>
      </c>
      <c r="E2" s="3">
        <f>2*(Table1[[#This Row],[panjang]]+Table1[[#This Row],[lebar]])</f>
        <v>94</v>
      </c>
    </row>
    <row r="3" spans="1:5" ht="22.5" customHeight="1" x14ac:dyDescent="0.2">
      <c r="A3" s="2">
        <v>2</v>
      </c>
      <c r="B3" s="2">
        <v>31</v>
      </c>
      <c r="C3" s="2">
        <v>12</v>
      </c>
      <c r="D3" s="2">
        <v>450</v>
      </c>
      <c r="E3" s="3">
        <f>2*(Table1[[#This Row],[panjang]]+Table1[[#This Row],[lebar]])</f>
        <v>86</v>
      </c>
    </row>
    <row r="4" spans="1:5" ht="22.5" customHeight="1" x14ac:dyDescent="0.2">
      <c r="A4" s="2">
        <v>3</v>
      </c>
      <c r="B4" s="2">
        <v>28</v>
      </c>
      <c r="C4" s="2">
        <v>11</v>
      </c>
      <c r="D4" s="2">
        <v>370</v>
      </c>
      <c r="E4" s="3">
        <f>2*(Table1[[#This Row],[panjang]]+Table1[[#This Row],[lebar]])</f>
        <v>78</v>
      </c>
    </row>
    <row r="5" spans="1:5" ht="22.5" customHeight="1" x14ac:dyDescent="0.2">
      <c r="A5" s="2">
        <v>4</v>
      </c>
      <c r="B5" s="2">
        <v>19</v>
      </c>
      <c r="C5" s="2">
        <v>6</v>
      </c>
      <c r="D5" s="2">
        <v>135</v>
      </c>
      <c r="E5" s="3">
        <f>2*(Table1[[#This Row],[panjang]]+Table1[[#This Row],[lebar]])</f>
        <v>50</v>
      </c>
    </row>
    <row r="6" spans="1:5" ht="22.5" customHeight="1" x14ac:dyDescent="0.2">
      <c r="A6" s="2">
        <v>5</v>
      </c>
      <c r="B6" s="2">
        <v>25</v>
      </c>
      <c r="C6" s="2">
        <v>9</v>
      </c>
      <c r="D6" s="2">
        <v>260</v>
      </c>
      <c r="E6" s="3">
        <f>2*(Table1[[#This Row],[panjang]]+Table1[[#This Row],[lebar]])</f>
        <v>68</v>
      </c>
    </row>
    <row r="7" spans="1:5" ht="22.5" customHeight="1" x14ac:dyDescent="0.2">
      <c r="A7" s="2">
        <v>6</v>
      </c>
      <c r="B7" s="2">
        <v>23</v>
      </c>
      <c r="C7" s="2">
        <v>8</v>
      </c>
      <c r="D7" s="2">
        <v>225</v>
      </c>
      <c r="E7" s="3">
        <f>2*(Table1[[#This Row],[panjang]]+Table1[[#This Row],[lebar]])</f>
        <v>62</v>
      </c>
    </row>
    <row r="8" spans="1:5" ht="22.5" customHeight="1" x14ac:dyDescent="0.2">
      <c r="A8" s="2">
        <v>7</v>
      </c>
      <c r="B8" s="2">
        <v>24</v>
      </c>
      <c r="C8" s="2">
        <v>8</v>
      </c>
      <c r="D8" s="2">
        <v>220</v>
      </c>
      <c r="E8" s="3">
        <f>2*(Table1[[#This Row],[panjang]]+Table1[[#This Row],[lebar]])</f>
        <v>64</v>
      </c>
    </row>
    <row r="9" spans="1:5" ht="22.5" customHeight="1" x14ac:dyDescent="0.2">
      <c r="A9" s="2">
        <v>8</v>
      </c>
      <c r="B9" s="2">
        <v>24</v>
      </c>
      <c r="C9" s="2">
        <v>8</v>
      </c>
      <c r="D9" s="2">
        <v>200</v>
      </c>
      <c r="E9" s="3">
        <f>2*(Table1[[#This Row],[panjang]]+Table1[[#This Row],[lebar]])</f>
        <v>64</v>
      </c>
    </row>
    <row r="10" spans="1:5" ht="22.5" customHeight="1" x14ac:dyDescent="0.2">
      <c r="A10" s="2">
        <v>9</v>
      </c>
      <c r="B10" s="2">
        <v>24</v>
      </c>
      <c r="C10" s="2">
        <v>7</v>
      </c>
      <c r="D10" s="2">
        <v>180</v>
      </c>
      <c r="E10" s="3">
        <f>2*(Table1[[#This Row],[panjang]]+Table1[[#This Row],[lebar]])</f>
        <v>62</v>
      </c>
    </row>
    <row r="11" spans="1:5" ht="22.5" customHeight="1" x14ac:dyDescent="0.2">
      <c r="A11" s="2">
        <v>10</v>
      </c>
      <c r="B11" s="2">
        <v>22</v>
      </c>
      <c r="C11" s="2">
        <v>8</v>
      </c>
      <c r="D11" s="2">
        <v>180</v>
      </c>
      <c r="E11" s="3">
        <f>2*(Table1[[#This Row],[panjang]]+Table1[[#This Row],[lebar]])</f>
        <v>60</v>
      </c>
    </row>
    <row r="12" spans="1:5" ht="22.5" customHeight="1" x14ac:dyDescent="0.2">
      <c r="A12" s="2">
        <v>11</v>
      </c>
      <c r="B12" s="2">
        <v>20</v>
      </c>
      <c r="C12" s="2">
        <v>7</v>
      </c>
      <c r="D12" s="2">
        <v>160</v>
      </c>
      <c r="E12" s="3">
        <f>2*(Table1[[#This Row],[panjang]]+Table1[[#This Row],[lebar]])</f>
        <v>54</v>
      </c>
    </row>
    <row r="13" spans="1:5" ht="22.5" customHeight="1" x14ac:dyDescent="0.2">
      <c r="A13" s="2">
        <v>12</v>
      </c>
      <c r="B13" s="2">
        <v>19</v>
      </c>
      <c r="C13" s="2">
        <v>7</v>
      </c>
      <c r="D13" s="2">
        <v>120</v>
      </c>
      <c r="E13" s="3">
        <f>2*(Table1[[#This Row],[panjang]]+Table1[[#This Row],[lebar]])</f>
        <v>52</v>
      </c>
    </row>
    <row r="14" spans="1:5" ht="22.5" customHeight="1" x14ac:dyDescent="0.2">
      <c r="A14" s="2">
        <v>13</v>
      </c>
      <c r="B14" s="2">
        <v>20</v>
      </c>
      <c r="C14" s="2">
        <v>6</v>
      </c>
      <c r="D14" s="2">
        <v>140</v>
      </c>
      <c r="E14" s="3">
        <f>2*(Table1[[#This Row],[panjang]]+Table1[[#This Row],[lebar]])</f>
        <v>52</v>
      </c>
    </row>
  </sheetData>
  <dataValidations count="1">
    <dataValidation type="custom" allowBlank="1" showDropDown="1" sqref="A2:A14" xr:uid="{00000000-0002-0000-0000-000000000000}">
      <formula1>AND(ISNUMBER(A2),(NOT(OR(NOT(ISERROR(DATEVALUE(A2))), AND(ISNUMBER(A2), LEFT(CELL("format", A2))="D")))))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4"/>
  <sheetViews>
    <sheetView tabSelected="1" workbookViewId="0">
      <pane ySplit="1" topLeftCell="A2" activePane="bottomLeft" state="frozen"/>
      <selection pane="bottomLeft" activeCell="K5" sqref="K5"/>
    </sheetView>
  </sheetViews>
  <sheetFormatPr defaultColWidth="12.5703125" defaultRowHeight="15.75" customHeight="1" x14ac:dyDescent="0.2"/>
  <sheetData>
    <row r="1" spans="1:5" ht="22.5" customHeight="1" x14ac:dyDescent="0.2">
      <c r="A1" s="1" t="s">
        <v>4</v>
      </c>
      <c r="B1" s="1" t="s">
        <v>1</v>
      </c>
      <c r="C1" s="1" t="s">
        <v>2</v>
      </c>
      <c r="D1" s="1" t="s">
        <v>3</v>
      </c>
      <c r="E1" s="3" t="s">
        <v>5</v>
      </c>
    </row>
    <row r="2" spans="1:5" ht="22.5" customHeight="1" x14ac:dyDescent="0.2">
      <c r="A2" s="2">
        <v>1</v>
      </c>
      <c r="B2" s="2">
        <v>52</v>
      </c>
      <c r="C2" s="2">
        <v>8</v>
      </c>
      <c r="D2" s="2">
        <v>830</v>
      </c>
      <c r="E2" s="3">
        <f>2*(Table3[[#This Row],[panjang]]+Table3[[#This Row],[lebar]])</f>
        <v>120</v>
      </c>
    </row>
    <row r="3" spans="1:5" ht="22.5" customHeight="1" x14ac:dyDescent="0.2">
      <c r="A3" s="2">
        <v>2</v>
      </c>
      <c r="B3" s="2">
        <v>54</v>
      </c>
      <c r="C3" s="2">
        <v>9</v>
      </c>
      <c r="D3" s="2">
        <v>940</v>
      </c>
      <c r="E3" s="3">
        <f>2*(Table3[[#This Row],[panjang]]+Table3[[#This Row],[lebar]])</f>
        <v>126</v>
      </c>
    </row>
    <row r="4" spans="1:5" ht="22.5" customHeight="1" x14ac:dyDescent="0.2">
      <c r="A4" s="2">
        <v>3</v>
      </c>
      <c r="B4" s="2">
        <v>53</v>
      </c>
      <c r="C4" s="2">
        <v>8</v>
      </c>
      <c r="D4" s="2">
        <v>880</v>
      </c>
      <c r="E4" s="3">
        <f>2*(Table3[[#This Row],[panjang]]+Table3[[#This Row],[lebar]])</f>
        <v>122</v>
      </c>
    </row>
    <row r="5" spans="1:5" ht="22.5" customHeight="1" x14ac:dyDescent="0.2">
      <c r="A5" s="2">
        <v>4</v>
      </c>
      <c r="B5" s="2">
        <v>39</v>
      </c>
      <c r="C5" s="2">
        <v>7</v>
      </c>
      <c r="D5" s="2">
        <v>430</v>
      </c>
      <c r="E5" s="3">
        <f>2*(Table3[[#This Row],[panjang]]+Table3[[#This Row],[lebar]])</f>
        <v>92</v>
      </c>
    </row>
    <row r="6" spans="1:5" ht="22.5" customHeight="1" x14ac:dyDescent="0.2">
      <c r="A6" s="2">
        <v>5</v>
      </c>
      <c r="B6" s="2">
        <v>41</v>
      </c>
      <c r="C6" s="2">
        <v>7</v>
      </c>
      <c r="D6" s="2">
        <v>460</v>
      </c>
      <c r="E6" s="3">
        <f>2*(Table3[[#This Row],[panjang]]+Table3[[#This Row],[lebar]])</f>
        <v>96</v>
      </c>
    </row>
    <row r="7" spans="1:5" ht="22.5" customHeight="1" x14ac:dyDescent="0.2">
      <c r="A7" s="2">
        <v>6</v>
      </c>
      <c r="B7" s="2">
        <v>35</v>
      </c>
      <c r="C7" s="2">
        <v>6</v>
      </c>
      <c r="D7" s="2">
        <v>350</v>
      </c>
      <c r="E7" s="3">
        <f>2*(Table3[[#This Row],[panjang]]+Table3[[#This Row],[lebar]])</f>
        <v>82</v>
      </c>
    </row>
    <row r="8" spans="1:5" ht="22.5" customHeight="1" x14ac:dyDescent="0.2">
      <c r="A8" s="2">
        <v>7</v>
      </c>
      <c r="B8" s="2">
        <v>35</v>
      </c>
      <c r="C8" s="2">
        <v>6</v>
      </c>
      <c r="D8" s="2">
        <v>320</v>
      </c>
      <c r="E8" s="3">
        <f>2*(Table3[[#This Row],[panjang]]+Table3[[#This Row],[lebar]])</f>
        <v>82</v>
      </c>
    </row>
    <row r="9" spans="1:5" ht="22.5" customHeight="1" x14ac:dyDescent="0.2">
      <c r="A9" s="2">
        <v>8</v>
      </c>
      <c r="B9" s="2">
        <v>28</v>
      </c>
      <c r="C9" s="2">
        <v>6</v>
      </c>
      <c r="D9" s="2">
        <v>140</v>
      </c>
      <c r="E9" s="3">
        <f>2*(Table3[[#This Row],[panjang]]+Table3[[#This Row],[lebar]])</f>
        <v>68</v>
      </c>
    </row>
    <row r="10" spans="1:5" ht="22.5" customHeight="1" x14ac:dyDescent="0.2">
      <c r="A10" s="2">
        <v>9</v>
      </c>
      <c r="B10" s="2">
        <v>27</v>
      </c>
      <c r="C10" s="2">
        <v>6</v>
      </c>
      <c r="D10" s="2">
        <v>160</v>
      </c>
      <c r="E10" s="3">
        <f>2*(Table3[[#This Row],[panjang]]+Table3[[#This Row],[lebar]])</f>
        <v>66</v>
      </c>
    </row>
    <row r="11" spans="1:5" ht="22.5" customHeight="1" x14ac:dyDescent="0.2">
      <c r="A11" s="2">
        <v>10</v>
      </c>
      <c r="B11" s="2">
        <v>27</v>
      </c>
      <c r="C11" s="2">
        <v>5</v>
      </c>
      <c r="D11" s="2">
        <v>100</v>
      </c>
      <c r="E11" s="3">
        <f>2*(Table3[[#This Row],[panjang]]+Table3[[#This Row],[lebar]])</f>
        <v>64</v>
      </c>
    </row>
    <row r="12" spans="1:5" ht="22.5" customHeight="1" x14ac:dyDescent="0.2">
      <c r="A12" s="2">
        <v>11</v>
      </c>
      <c r="B12" s="2">
        <v>25</v>
      </c>
      <c r="C12" s="2">
        <v>6</v>
      </c>
      <c r="D12" s="2">
        <v>120</v>
      </c>
      <c r="E12" s="3">
        <f>2*(Table3[[#This Row],[panjang]]+Table3[[#This Row],[lebar]])</f>
        <v>62</v>
      </c>
    </row>
    <row r="13" spans="1:5" ht="22.5" customHeight="1" x14ac:dyDescent="0.2">
      <c r="A13" s="2">
        <v>12</v>
      </c>
      <c r="B13" s="2">
        <v>20</v>
      </c>
      <c r="C13" s="2">
        <v>6</v>
      </c>
      <c r="D13" s="2">
        <v>220</v>
      </c>
      <c r="E13" s="3">
        <f>2*(Table3[[#This Row],[panjang]]+Table3[[#This Row],[lebar]])</f>
        <v>52</v>
      </c>
    </row>
    <row r="14" spans="1:5" ht="22.5" customHeight="1" x14ac:dyDescent="0.2">
      <c r="A14" s="2">
        <v>13</v>
      </c>
      <c r="B14" s="2">
        <v>28</v>
      </c>
      <c r="C14" s="2">
        <v>5</v>
      </c>
      <c r="D14" s="2">
        <v>170</v>
      </c>
      <c r="E14" s="3">
        <f>2*(Table3[[#This Row],[panjang]]+Table3[[#This Row],[lebar]])</f>
        <v>66</v>
      </c>
    </row>
  </sheetData>
  <dataValidations count="1">
    <dataValidation type="custom" allowBlank="1" showDropDown="1" sqref="A2:A14" xr:uid="{00000000-0002-0000-0100-000000000000}">
      <formula1>AND(ISNUMBER(A2),(NOT(OR(NOT(ISERROR(DATEVALUE(A2))), AND(ISNUMBER(A2), LEFT(CELL("format", A2))="D")))))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7"/>
  <sheetViews>
    <sheetView workbookViewId="0">
      <pane ySplit="1" topLeftCell="A2" activePane="bottomLeft" state="frozen"/>
      <selection pane="bottomLeft" activeCell="H2" sqref="H2"/>
    </sheetView>
  </sheetViews>
  <sheetFormatPr defaultColWidth="12.5703125" defaultRowHeight="15.75" customHeight="1" x14ac:dyDescent="0.2"/>
  <sheetData>
    <row r="1" spans="1:5" ht="22.5" customHeight="1" x14ac:dyDescent="0.2">
      <c r="A1" s="1" t="s">
        <v>4</v>
      </c>
      <c r="B1" s="1" t="s">
        <v>1</v>
      </c>
      <c r="C1" s="1" t="s">
        <v>2</v>
      </c>
      <c r="D1" s="1" t="s">
        <v>3</v>
      </c>
      <c r="E1" s="3" t="s">
        <v>5</v>
      </c>
    </row>
    <row r="2" spans="1:5" ht="22.5" customHeight="1" x14ac:dyDescent="0.2">
      <c r="A2" s="2">
        <v>1</v>
      </c>
      <c r="B2" s="2">
        <v>34</v>
      </c>
      <c r="C2" s="2">
        <v>14</v>
      </c>
      <c r="D2" s="2">
        <v>740</v>
      </c>
      <c r="E2" s="3">
        <f>2*(Table2[[#This Row],[panjang]]+Table2[[#This Row],[lebar]])</f>
        <v>96</v>
      </c>
    </row>
    <row r="3" spans="1:5" ht="22.5" customHeight="1" x14ac:dyDescent="0.2">
      <c r="A3" s="2">
        <v>2</v>
      </c>
      <c r="B3" s="2">
        <v>29</v>
      </c>
      <c r="C3" s="2">
        <v>12</v>
      </c>
      <c r="D3" s="2">
        <v>500</v>
      </c>
      <c r="E3" s="3">
        <f>2*(Table2[[#This Row],[panjang]]+Table2[[#This Row],[lebar]])</f>
        <v>82</v>
      </c>
    </row>
    <row r="4" spans="1:5" ht="22.5" customHeight="1" x14ac:dyDescent="0.2">
      <c r="A4" s="2">
        <v>3</v>
      </c>
      <c r="B4" s="2">
        <v>37</v>
      </c>
      <c r="C4" s="2">
        <v>12</v>
      </c>
      <c r="D4" s="2">
        <v>764</v>
      </c>
      <c r="E4" s="3">
        <f>2*(Table2[[#This Row],[panjang]]+Table2[[#This Row],[lebar]])</f>
        <v>98</v>
      </c>
    </row>
    <row r="5" spans="1:5" ht="22.5" customHeight="1" x14ac:dyDescent="0.2">
      <c r="A5" s="2">
        <v>4</v>
      </c>
      <c r="B5" s="2">
        <v>31</v>
      </c>
      <c r="C5" s="2">
        <v>10</v>
      </c>
      <c r="D5" s="2">
        <v>464</v>
      </c>
      <c r="E5" s="3">
        <f>2*(Table2[[#This Row],[panjang]]+Table2[[#This Row],[lebar]])</f>
        <v>82</v>
      </c>
    </row>
    <row r="6" spans="1:5" ht="22.5" customHeight="1" x14ac:dyDescent="0.2">
      <c r="A6" s="2">
        <v>5</v>
      </c>
      <c r="B6" s="2">
        <v>24</v>
      </c>
      <c r="C6" s="2">
        <v>7</v>
      </c>
      <c r="D6" s="2">
        <v>230</v>
      </c>
      <c r="E6" s="3">
        <f>2*(Table2[[#This Row],[panjang]]+Table2[[#This Row],[lebar]])</f>
        <v>62</v>
      </c>
    </row>
    <row r="7" spans="1:5" ht="22.5" customHeight="1" x14ac:dyDescent="0.2">
      <c r="A7" s="2">
        <v>6</v>
      </c>
      <c r="B7" s="2">
        <v>26</v>
      </c>
      <c r="C7" s="2">
        <v>8</v>
      </c>
      <c r="D7" s="2">
        <v>312</v>
      </c>
      <c r="E7" s="3">
        <f>2*(Table2[[#This Row],[panjang]]+Table2[[#This Row],[lebar]])</f>
        <v>68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Nila</vt:lpstr>
      <vt:lpstr>Lele</vt:lpstr>
      <vt:lpstr>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2025-12-12T01:37:15Z</dcterms:modified>
</cp:coreProperties>
</file>