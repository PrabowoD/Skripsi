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Nila"/>
    <sheet r:id="rId2" sheetId="2" name="Lele"/>
    <sheet r:id="rId3" sheetId="3" name="Mas"/>
  </sheets>
  <calcPr fullCalcOnLoad="1"/>
</workbook>
</file>

<file path=xl/sharedStrings.xml><?xml version="1.0" encoding="utf-8"?>
<sst xmlns="http://schemas.openxmlformats.org/spreadsheetml/2006/main" count="21" uniqueCount="8">
  <si>
    <t>no</t>
  </si>
  <si>
    <t>panjang</t>
  </si>
  <si>
    <t>lebar</t>
  </si>
  <si>
    <t>berat</t>
  </si>
  <si>
    <t>keliling</t>
  </si>
  <si>
    <t>berat/keliling</t>
  </si>
  <si>
    <t>rata-rata berat/keliling ikan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</si>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</sst>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7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left"/>
    </xf>
    <xf xfId="0" numFmtId="4" applyNumberFormat="1" borderId="2" applyBorder="1" fontId="1" applyFont="1" fillId="0" applyAlignment="1">
      <alignment horizontal="left"/>
    </xf>
    <xf xfId="0" numFmtId="3" applyNumberFormat="1" borderId="3" applyBorder="1" fontId="2" applyFont="1" fillId="0" applyAlignment="1">
      <alignment horizontal="left"/>
    </xf>
    <xf xfId="0" numFmtId="4" applyNumberFormat="1" borderId="2" applyBorder="1" fontId="2" applyFont="1" fillId="0" applyAlignment="1">
      <alignment horizontal="left"/>
    </xf>
    <xf xfId="0" numFmtId="3" applyNumberFormat="1" borderId="4" applyBorder="1" fontId="1" applyFont="1" fillId="0" applyAlignment="1">
      <alignment horizontal="right"/>
    </xf>
    <xf xfId="0" numFmtId="3" applyNumberFormat="1" borderId="5" applyBorder="1" fontId="1" applyFont="1" fillId="0" applyAlignment="1">
      <alignment horizontal="right"/>
    </xf>
    <xf xfId="0" numFmtId="3" applyNumberFormat="1" borderId="6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4" applyNumberFormat="1" borderId="5" applyBorder="1" fontId="2" applyFont="1" fillId="0" applyAlignment="1">
      <alignment horizontal="right"/>
    </xf>
    <xf xfId="0" numFmtId="3" applyNumberFormat="1" borderId="7" applyBorder="1" fontId="1" applyFont="1" fillId="0" applyAlignment="1">
      <alignment horizontal="right"/>
    </xf>
    <xf xfId="0" numFmtId="3" applyNumberFormat="1" borderId="8" applyBorder="1" fontId="1" applyFont="1" fillId="0" applyAlignment="1">
      <alignment horizontal="right"/>
    </xf>
    <xf xfId="0" numFmtId="3" applyNumberFormat="1" borderId="9" applyBorder="1" fontId="2" applyFont="1" fillId="0" applyAlignment="1">
      <alignment horizontal="right"/>
    </xf>
    <xf xfId="0" numFmtId="4" applyNumberFormat="1" borderId="8" applyBorder="1" fontId="2" applyFont="1" fillId="0" applyAlignment="1">
      <alignment horizontal="right"/>
    </xf>
    <xf xfId="0" numFmtId="3" applyNumberFormat="1" borderId="0" fontId="0" fillId="0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5" applyBorder="1" fontId="2" applyFont="1" fillId="0" applyAlignment="1">
      <alignment horizontal="left"/>
    </xf>
    <xf xfId="0" numFmtId="3" applyNumberFormat="1" borderId="0" fontId="0" fillId="0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2" applyBorder="1" fontId="2" applyFont="1" fillId="0" applyAlignment="1">
      <alignment horizontal="left"/>
    </xf>
    <xf xfId="0" numFmtId="4" applyNumberFormat="1" borderId="3" applyBorder="1" fontId="2" applyFont="1" fillId="0" applyAlignment="1">
      <alignment horizontal="left"/>
    </xf>
    <xf xfId="0" numFmtId="3" applyNumberFormat="1" borderId="5" applyBorder="1" fontId="2" applyFont="1" fillId="0" applyAlignment="1">
      <alignment horizontal="right"/>
    </xf>
    <xf xfId="0" numFmtId="4" applyNumberFormat="1" borderId="6" applyBorder="1" fontId="2" applyFont="1" fillId="0" applyAlignment="1">
      <alignment horizontal="right"/>
    </xf>
    <xf xfId="0" numFmtId="3" applyNumberFormat="1" borderId="8" applyBorder="1" fontId="2" applyFont="1" fillId="0" applyAlignment="1">
      <alignment horizontal="right"/>
    </xf>
    <xf xfId="0" numFmtId="4" applyNumberFormat="1" borderId="9" applyBorder="1" fontId="2" applyFont="1" fillId="0" applyAlignment="1">
      <alignment horizontal="right"/>
    </xf>
    <xf xfId="0" numFmtId="3" applyNumberFormat="1" borderId="10" applyBorder="1" fontId="1" applyFont="1" fillId="0" applyAlignment="1">
      <alignment horizontal="left"/>
    </xf>
    <xf xfId="0" numFmtId="4" applyNumberFormat="1" borderId="10" applyBorder="1" fontId="1" applyFont="1" fillId="0" applyAlignment="1">
      <alignment horizontal="left"/>
    </xf>
    <xf xfId="0" numFmtId="3" applyNumberFormat="1" borderId="10" applyBorder="1" fontId="2" applyFont="1" fillId="0" applyAlignment="1">
      <alignment horizontal="left"/>
    </xf>
    <xf xfId="0" numFmtId="4" applyNumberFormat="1" borderId="10" applyBorder="1" fontId="2" applyFont="1" fillId="0" applyAlignment="1">
      <alignment horizontal="left"/>
    </xf>
    <xf xfId="0" numFmtId="3" applyNumberFormat="1" borderId="10" applyBorder="1" fontId="1" applyFont="1" fillId="0" applyAlignment="1">
      <alignment horizontal="right"/>
    </xf>
    <xf xfId="0" numFmtId="3" applyNumberFormat="1" borderId="10" applyBorder="1" fontId="2" applyFont="1" fillId="0" applyAlignment="1">
      <alignment horizontal="right"/>
    </xf>
    <xf xfId="0" numFmtId="4" applyNumberFormat="1" borderId="10" applyBorder="1" fontId="2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ables/table1.xml><?xml version="1.0" encoding="utf-8"?>
<table xmlns="http://schemas.openxmlformats.org/spreadsheetml/2006/main" ref="A1:F7" displayName="Table2" name="Table2" id="1" totalsRowShown="0">
  <autoFilter ref="A1:F7"/>
  <tableColumns count="6">
    <tableColumn name="no" id="1"/>
    <tableColumn name="panjang" id="2"/>
    <tableColumn name="lebar" id="3"/>
    <tableColumn name="berat" id="4"/>
    <tableColumn name="keliling" id="5"/>
    <tableColumn name="berat/keliling" id="6"/>
  </tableColumns>
  <tableStyleInfo name="TableStyleLight1" showColumnStripes="0" showRowStripes="1" showLastColumn="1" showFirstColumn="1"/>
</table>
</file>

<file path=xl/tables/table2.xml><?xml version="1.0" encoding="utf-8"?>
<table xmlns="http://schemas.openxmlformats.org/spreadsheetml/2006/main" ref="A1:F14" displayName="Table3" name="Table3" id="2" totalsRowShown="0">
  <autoFilter ref="A1:F14"/>
  <tableColumns count="6">
    <tableColumn name="no" id="1"/>
    <tableColumn name="panjang" id="2"/>
    <tableColumn name="lebar" id="3"/>
    <tableColumn name="berat" id="4"/>
    <tableColumn name="keliling" id="5"/>
    <tableColumn name="berat/keliling" id="6"/>
  </tableColumns>
  <tableStyleInfo name="TableStyleLight1" showColumnStripes="0" showRowStripes="1" showLastColumn="1" showFirstColumn="1"/>
</table>
</file>

<file path=xl/tables/table3.xml><?xml version="1.0" encoding="utf-8"?>
<table xmlns="http://schemas.openxmlformats.org/spreadsheetml/2006/main" ref="A1:F14" displayName="Table1" name="Table1" id="3" totalsRowShown="0">
  <autoFilter ref="A1:F14"/>
  <tableColumns count="6">
    <tableColumn name="No" id="1"/>
    <tableColumn name="panjang" id="2"/>
    <tableColumn name="lebar" id="3"/>
    <tableColumn name="berat" id="4"/>
    <tableColumn name="keliling" id="5"/>
    <tableColumn name="berat/keliling" id="6"/>
  </tableColumns>
  <tableStyleInfo name="TableStyleLight1" showColumnStripes="0" showRowStripes="1" showLastColumn="1" showFirstColumn="1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3.xml" Type="http://schemas.openxmlformats.org/officeDocument/2006/relationships/table" Id="rId1"/></Relationships>
</file>

<file path=xl/worksheets/_rels/sheet2.xml.rels><?xml version="1.0" encoding="UTF-8" standalone="yes"?><Relationships xmlns="http://schemas.openxmlformats.org/package/2006/relationships"><Relationship Target="../tables/table2.xml" Type="http://schemas.openxmlformats.org/officeDocument/2006/relationships/table" Id="rId1"/></Relationships>
</file>

<file path=xl/worksheets/_rels/sheet3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6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20" width="13.576428571428572" customWidth="1" bestFit="1"/>
    <col min="2" max="2" style="20" width="13.576428571428572" customWidth="1" bestFit="1"/>
    <col min="3" max="3" style="21" width="13.576428571428572" customWidth="1" bestFit="1"/>
    <col min="4" max="4" style="22" width="13.576428571428572" customWidth="1" bestFit="1"/>
    <col min="5" max="5" style="22" width="13.576428571428572" customWidth="1" bestFit="1"/>
    <col min="6" max="6" style="23" width="13.576428571428572" customWidth="1" bestFit="1"/>
  </cols>
  <sheetData>
    <row x14ac:dyDescent="0.25" r="1" customHeight="1" ht="22.5">
      <c r="A1" s="30" t="s">
        <v>7</v>
      </c>
      <c r="B1" s="30" t="s">
        <v>1</v>
      </c>
      <c r="C1" s="31" t="s">
        <v>2</v>
      </c>
      <c r="D1" s="30" t="s">
        <v>3</v>
      </c>
      <c r="E1" s="32" t="s">
        <v>4</v>
      </c>
      <c r="F1" s="33" t="s">
        <v>5</v>
      </c>
    </row>
    <row x14ac:dyDescent="0.25" r="2" customHeight="1" ht="22.5">
      <c r="A2" s="34">
        <v>1</v>
      </c>
      <c r="B2" s="34">
        <v>33</v>
      </c>
      <c r="C2" s="34">
        <v>14</v>
      </c>
      <c r="D2" s="34">
        <v>670</v>
      </c>
      <c r="E2" s="35">
        <f>2*(Table1[[#This Row], [panjang]]+Table1[[#This Row], [lebar]])</f>
      </c>
      <c r="F2" s="36">
        <f>Table1[[#This Row], [berat]]/Table1[[#This Row], [keliling]]</f>
      </c>
    </row>
    <row x14ac:dyDescent="0.25" r="3" customHeight="1" ht="22.5">
      <c r="A3" s="34">
        <v>2</v>
      </c>
      <c r="B3" s="34">
        <v>31</v>
      </c>
      <c r="C3" s="34">
        <v>12</v>
      </c>
      <c r="D3" s="34">
        <v>450</v>
      </c>
      <c r="E3" s="35">
        <f>2*(Table1[[#This Row], [panjang]]+Table1[[#This Row], [lebar]])</f>
      </c>
      <c r="F3" s="36">
        <f>Table1[[#This Row], [berat]]/Table1[[#This Row], [keliling]]</f>
      </c>
    </row>
    <row x14ac:dyDescent="0.25" r="4" customHeight="1" ht="22.5">
      <c r="A4" s="34">
        <v>3</v>
      </c>
      <c r="B4" s="34">
        <v>28</v>
      </c>
      <c r="C4" s="34">
        <v>11</v>
      </c>
      <c r="D4" s="34">
        <v>370</v>
      </c>
      <c r="E4" s="35">
        <f>2*(Table1[[#This Row], [panjang]]+Table1[[#This Row], [lebar]])</f>
      </c>
      <c r="F4" s="36">
        <f>Table1[[#This Row], [berat]]/Table1[[#This Row], [keliling]]</f>
      </c>
    </row>
    <row x14ac:dyDescent="0.25" r="5" customHeight="1" ht="22.5">
      <c r="A5" s="34">
        <v>4</v>
      </c>
      <c r="B5" s="34">
        <v>19</v>
      </c>
      <c r="C5" s="34">
        <v>6</v>
      </c>
      <c r="D5" s="34">
        <v>135</v>
      </c>
      <c r="E5" s="35">
        <f>2*(Table1[[#This Row], [panjang]]+Table1[[#This Row], [lebar]])</f>
      </c>
      <c r="F5" s="36">
        <f>Table1[[#This Row], [berat]]/Table1[[#This Row], [keliling]]</f>
      </c>
    </row>
    <row x14ac:dyDescent="0.25" r="6" customHeight="1" ht="22.5">
      <c r="A6" s="34">
        <v>5</v>
      </c>
      <c r="B6" s="34">
        <v>25</v>
      </c>
      <c r="C6" s="34">
        <v>9</v>
      </c>
      <c r="D6" s="34">
        <v>260</v>
      </c>
      <c r="E6" s="35">
        <f>2*(Table1[[#This Row], [panjang]]+Table1[[#This Row], [lebar]])</f>
      </c>
      <c r="F6" s="36">
        <f>Table1[[#This Row], [berat]]/Table1[[#This Row], [keliling]]</f>
      </c>
    </row>
    <row x14ac:dyDescent="0.25" r="7" customHeight="1" ht="22.5">
      <c r="A7" s="34">
        <v>6</v>
      </c>
      <c r="B7" s="34">
        <v>23</v>
      </c>
      <c r="C7" s="34">
        <v>8</v>
      </c>
      <c r="D7" s="34">
        <v>225</v>
      </c>
      <c r="E7" s="35">
        <f>2*(Table1[[#This Row], [panjang]]+Table1[[#This Row], [lebar]])</f>
      </c>
      <c r="F7" s="36">
        <f>Table1[[#This Row], [berat]]/Table1[[#This Row], [keliling]]</f>
      </c>
    </row>
    <row x14ac:dyDescent="0.25" r="8" customHeight="1" ht="22.5">
      <c r="A8" s="34">
        <v>7</v>
      </c>
      <c r="B8" s="34">
        <v>24</v>
      </c>
      <c r="C8" s="34">
        <v>8</v>
      </c>
      <c r="D8" s="34">
        <v>220</v>
      </c>
      <c r="E8" s="35">
        <f>2*(Table1[[#This Row], [panjang]]+Table1[[#This Row], [lebar]])</f>
      </c>
      <c r="F8" s="36">
        <f>Table1[[#This Row], [berat]]/Table1[[#This Row], [keliling]]</f>
      </c>
    </row>
    <row x14ac:dyDescent="0.25" r="9" customHeight="1" ht="22.5">
      <c r="A9" s="34">
        <v>8</v>
      </c>
      <c r="B9" s="34">
        <v>24</v>
      </c>
      <c r="C9" s="34">
        <v>8</v>
      </c>
      <c r="D9" s="34">
        <v>200</v>
      </c>
      <c r="E9" s="35">
        <f>2*(Table1[[#This Row], [panjang]]+Table1[[#This Row], [lebar]])</f>
      </c>
      <c r="F9" s="36">
        <f>Table1[[#This Row], [berat]]/Table1[[#This Row], [keliling]]</f>
      </c>
    </row>
    <row x14ac:dyDescent="0.25" r="10" customHeight="1" ht="22.5">
      <c r="A10" s="34">
        <v>9</v>
      </c>
      <c r="B10" s="34">
        <v>24</v>
      </c>
      <c r="C10" s="34">
        <v>7</v>
      </c>
      <c r="D10" s="34">
        <v>180</v>
      </c>
      <c r="E10" s="35">
        <f>2*(Table1[[#This Row], [panjang]]+Table1[[#This Row], [lebar]])</f>
      </c>
      <c r="F10" s="36">
        <f>Table1[[#This Row], [berat]]/Table1[[#This Row], [keliling]]</f>
      </c>
    </row>
    <row x14ac:dyDescent="0.25" r="11" customHeight="1" ht="22.5">
      <c r="A11" s="34">
        <v>10</v>
      </c>
      <c r="B11" s="34">
        <v>22</v>
      </c>
      <c r="C11" s="34">
        <v>8</v>
      </c>
      <c r="D11" s="34">
        <v>180</v>
      </c>
      <c r="E11" s="35">
        <f>2*(Table1[[#This Row], [panjang]]+Table1[[#This Row], [lebar]])</f>
      </c>
      <c r="F11" s="35">
        <f>Table1[[#This Row], [berat]]/Table1[[#This Row], [keliling]]</f>
      </c>
    </row>
    <row x14ac:dyDescent="0.25" r="12" customHeight="1" ht="22.5">
      <c r="A12" s="34">
        <v>11</v>
      </c>
      <c r="B12" s="34">
        <v>20</v>
      </c>
      <c r="C12" s="34">
        <v>7</v>
      </c>
      <c r="D12" s="34">
        <v>160</v>
      </c>
      <c r="E12" s="35">
        <f>2*(Table1[[#This Row], [panjang]]+Table1[[#This Row], [lebar]])</f>
      </c>
      <c r="F12" s="36">
        <f>Table1[[#This Row], [berat]]/Table1[[#This Row], [keliling]]</f>
      </c>
    </row>
    <row x14ac:dyDescent="0.25" r="13" customHeight="1" ht="22.5">
      <c r="A13" s="34">
        <v>12</v>
      </c>
      <c r="B13" s="34">
        <v>19</v>
      </c>
      <c r="C13" s="34">
        <v>7</v>
      </c>
      <c r="D13" s="34">
        <v>120</v>
      </c>
      <c r="E13" s="35">
        <f>2*(Table1[[#This Row], [panjang]]+Table1[[#This Row], [lebar]])</f>
      </c>
      <c r="F13" s="36">
        <f>Table1[[#This Row], [berat]]/Table1[[#This Row], [keliling]]</f>
      </c>
    </row>
    <row x14ac:dyDescent="0.25" r="14" customHeight="1" ht="22.5">
      <c r="A14" s="34">
        <v>13</v>
      </c>
      <c r="B14" s="34">
        <v>20</v>
      </c>
      <c r="C14" s="34">
        <v>6</v>
      </c>
      <c r="D14" s="34">
        <v>140</v>
      </c>
      <c r="E14" s="35">
        <f>2*(Table1[[#This Row], [panjang]]+Table1[[#This Row], [lebar]])</f>
      </c>
      <c r="F14" s="36">
        <f>Table1[[#This Row], [berat]]/Table1[[#This Row], [keliling]]</f>
      </c>
    </row>
    <row x14ac:dyDescent="0.25" r="15" customHeight="1" ht="18.75">
      <c r="A15" s="15"/>
      <c r="B15" s="15"/>
      <c r="C15" s="16"/>
      <c r="D15" s="17"/>
      <c r="E15" s="17"/>
      <c r="F15" s="18"/>
    </row>
    <row x14ac:dyDescent="0.25" r="16" customHeight="1" ht="15.75">
      <c r="A16" s="19" t="s">
        <v>6</v>
      </c>
      <c r="B16" s="19"/>
      <c r="C16" s="10">
        <f>AVERAGE(Table1[berat/keliling])</f>
      </c>
      <c r="D16" s="17"/>
      <c r="E16" s="17"/>
      <c r="F16" s="18"/>
    </row>
  </sheetData>
  <mergeCells count="1">
    <mergeCell ref="A16:B16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7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20" width="13.576428571428572" customWidth="1" bestFit="1"/>
    <col min="2" max="2" style="20" width="13.576428571428572" customWidth="1" bestFit="1"/>
    <col min="3" max="3" style="21" width="13.576428571428572" customWidth="1" bestFit="1"/>
    <col min="4" max="4" style="22" width="13.576428571428572" customWidth="1" bestFit="1"/>
    <col min="5" max="5" style="22" width="13.576428571428572" customWidth="1" bestFit="1"/>
    <col min="6" max="6" style="23" width="19.14785714285714" customWidth="1" bestFit="1"/>
  </cols>
  <sheetData>
    <row x14ac:dyDescent="0.25" r="1" customHeight="1" ht="22.5">
      <c r="A1" s="1" t="s">
        <v>0</v>
      </c>
      <c r="B1" s="2" t="s">
        <v>1</v>
      </c>
      <c r="C1" s="3" t="s">
        <v>2</v>
      </c>
      <c r="D1" s="2" t="s">
        <v>3</v>
      </c>
      <c r="E1" s="24" t="s">
        <v>4</v>
      </c>
      <c r="F1" s="25" t="s">
        <v>5</v>
      </c>
    </row>
    <row x14ac:dyDescent="0.25" r="2" customHeight="1" ht="22.5">
      <c r="A2" s="6">
        <v>1</v>
      </c>
      <c r="B2" s="7">
        <v>52</v>
      </c>
      <c r="C2" s="7">
        <v>8</v>
      </c>
      <c r="D2" s="7">
        <v>830</v>
      </c>
      <c r="E2" s="26">
        <f>2*(Table3[[#This Row], [panjang]]+Table3[[#This Row], [lebar]])</f>
      </c>
      <c r="F2" s="27">
        <f>Table3[[#This Row], [berat]]/Table3[[#This Row], [keliling]]</f>
      </c>
    </row>
    <row x14ac:dyDescent="0.25" r="3" customHeight="1" ht="22.5">
      <c r="A3" s="6">
        <v>2</v>
      </c>
      <c r="B3" s="7">
        <v>54</v>
      </c>
      <c r="C3" s="7">
        <v>9</v>
      </c>
      <c r="D3" s="7">
        <v>940</v>
      </c>
      <c r="E3" s="26">
        <f>2*(Table3[[#This Row], [panjang]]+Table3[[#This Row], [lebar]])</f>
      </c>
      <c r="F3" s="27">
        <f>Table3[[#This Row], [berat]]/Table3[[#This Row], [keliling]]</f>
      </c>
    </row>
    <row x14ac:dyDescent="0.25" r="4" customHeight="1" ht="22.5">
      <c r="A4" s="6">
        <v>3</v>
      </c>
      <c r="B4" s="7">
        <v>53</v>
      </c>
      <c r="C4" s="7">
        <v>8</v>
      </c>
      <c r="D4" s="7">
        <v>880</v>
      </c>
      <c r="E4" s="26">
        <f>2*(Table3[[#This Row], [panjang]]+Table3[[#This Row], [lebar]])</f>
      </c>
      <c r="F4" s="27">
        <f>Table3[[#This Row], [berat]]/Table3[[#This Row], [keliling]]</f>
      </c>
    </row>
    <row x14ac:dyDescent="0.25" r="5" customHeight="1" ht="22.5">
      <c r="A5" s="6">
        <v>4</v>
      </c>
      <c r="B5" s="7">
        <v>39</v>
      </c>
      <c r="C5" s="7">
        <v>7</v>
      </c>
      <c r="D5" s="7">
        <v>430</v>
      </c>
      <c r="E5" s="26">
        <f>2*(Table3[[#This Row], [panjang]]+Table3[[#This Row], [lebar]])</f>
      </c>
      <c r="F5" s="27">
        <f>Table3[[#This Row], [berat]]/Table3[[#This Row], [keliling]]</f>
      </c>
    </row>
    <row x14ac:dyDescent="0.25" r="6" customHeight="1" ht="22.5">
      <c r="A6" s="6">
        <v>5</v>
      </c>
      <c r="B6" s="7">
        <v>41</v>
      </c>
      <c r="C6" s="7">
        <v>7</v>
      </c>
      <c r="D6" s="7">
        <v>460</v>
      </c>
      <c r="E6" s="26">
        <f>2*(Table3[[#This Row], [panjang]]+Table3[[#This Row], [lebar]])</f>
      </c>
      <c r="F6" s="27">
        <f>Table3[[#This Row], [berat]]/Table3[[#This Row], [keliling]]</f>
      </c>
    </row>
    <row x14ac:dyDescent="0.25" r="7" customHeight="1" ht="22.5">
      <c r="A7" s="6">
        <v>6</v>
      </c>
      <c r="B7" s="7">
        <v>35</v>
      </c>
      <c r="C7" s="7">
        <v>6</v>
      </c>
      <c r="D7" s="7">
        <v>350</v>
      </c>
      <c r="E7" s="26">
        <f>2*(Table3[[#This Row], [panjang]]+Table3[[#This Row], [lebar]])</f>
      </c>
      <c r="F7" s="27">
        <f>Table3[[#This Row], [berat]]/Table3[[#This Row], [keliling]]</f>
      </c>
    </row>
    <row x14ac:dyDescent="0.25" r="8" customHeight="1" ht="22.5">
      <c r="A8" s="6">
        <v>7</v>
      </c>
      <c r="B8" s="7">
        <v>35</v>
      </c>
      <c r="C8" s="7">
        <v>6</v>
      </c>
      <c r="D8" s="7">
        <v>320</v>
      </c>
      <c r="E8" s="26">
        <f>2*(Table3[[#This Row], [panjang]]+Table3[[#This Row], [lebar]])</f>
      </c>
      <c r="F8" s="27">
        <f>Table3[[#This Row], [berat]]/Table3[[#This Row], [keliling]]</f>
      </c>
    </row>
    <row x14ac:dyDescent="0.25" r="9" customHeight="1" ht="22.5">
      <c r="A9" s="6">
        <v>8</v>
      </c>
      <c r="B9" s="7">
        <v>28</v>
      </c>
      <c r="C9" s="7">
        <v>6</v>
      </c>
      <c r="D9" s="7">
        <v>140</v>
      </c>
      <c r="E9" s="26">
        <f>2*(Table3[[#This Row], [panjang]]+Table3[[#This Row], [lebar]])</f>
      </c>
      <c r="F9" s="27">
        <f>Table3[[#This Row], [berat]]/Table3[[#This Row], [keliling]]</f>
      </c>
    </row>
    <row x14ac:dyDescent="0.25" r="10" customHeight="1" ht="22.5">
      <c r="A10" s="6">
        <v>9</v>
      </c>
      <c r="B10" s="7">
        <v>27</v>
      </c>
      <c r="C10" s="7">
        <v>6</v>
      </c>
      <c r="D10" s="7">
        <v>160</v>
      </c>
      <c r="E10" s="26">
        <f>2*(Table3[[#This Row], [panjang]]+Table3[[#This Row], [lebar]])</f>
      </c>
      <c r="F10" s="27">
        <f>Table3[[#This Row], [berat]]/Table3[[#This Row], [keliling]]</f>
      </c>
    </row>
    <row x14ac:dyDescent="0.25" r="11" customHeight="1" ht="22.5">
      <c r="A11" s="6">
        <v>10</v>
      </c>
      <c r="B11" s="7">
        <v>27</v>
      </c>
      <c r="C11" s="7">
        <v>5</v>
      </c>
      <c r="D11" s="7">
        <v>100</v>
      </c>
      <c r="E11" s="26">
        <f>2*(Table3[[#This Row], [panjang]]+Table3[[#This Row], [lebar]])</f>
      </c>
      <c r="F11" s="27">
        <f>Table3[[#This Row], [berat]]/Table3[[#This Row], [keliling]]</f>
      </c>
    </row>
    <row x14ac:dyDescent="0.25" r="12" customHeight="1" ht="22.5">
      <c r="A12" s="6">
        <v>11</v>
      </c>
      <c r="B12" s="7">
        <v>25</v>
      </c>
      <c r="C12" s="7">
        <v>6</v>
      </c>
      <c r="D12" s="7">
        <v>120</v>
      </c>
      <c r="E12" s="26">
        <f>2*(Table3[[#This Row], [panjang]]+Table3[[#This Row], [lebar]])</f>
      </c>
      <c r="F12" s="27">
        <f>Table3[[#This Row], [berat]]/Table3[[#This Row], [keliling]]</f>
      </c>
    </row>
    <row x14ac:dyDescent="0.25" r="13" customHeight="1" ht="22.5">
      <c r="A13" s="6">
        <v>12</v>
      </c>
      <c r="B13" s="7">
        <v>20</v>
      </c>
      <c r="C13" s="7">
        <v>6</v>
      </c>
      <c r="D13" s="7">
        <v>220</v>
      </c>
      <c r="E13" s="26">
        <f>2*(Table3[[#This Row], [panjang]]+Table3[[#This Row], [lebar]])</f>
      </c>
      <c r="F13" s="27">
        <f>Table3[[#This Row], [berat]]/Table3[[#This Row], [keliling]]</f>
      </c>
    </row>
    <row x14ac:dyDescent="0.25" r="14" customHeight="1" ht="22.5">
      <c r="A14" s="11">
        <v>13</v>
      </c>
      <c r="B14" s="12">
        <v>28</v>
      </c>
      <c r="C14" s="12">
        <v>5</v>
      </c>
      <c r="D14" s="12">
        <v>170</v>
      </c>
      <c r="E14" s="28">
        <f>2*(Table3[[#This Row], [panjang]]+Table3[[#This Row], [lebar]])</f>
      </c>
      <c r="F14" s="29">
        <f>Table3[[#This Row], [berat]]/Table3[[#This Row], [keliling]]</f>
      </c>
    </row>
    <row x14ac:dyDescent="0.25" r="15" customHeight="1" ht="18.75">
      <c r="A15" s="15"/>
      <c r="B15" s="15"/>
      <c r="C15" s="16"/>
      <c r="D15" s="17"/>
      <c r="E15" s="17"/>
      <c r="F15" s="18"/>
    </row>
    <row x14ac:dyDescent="0.25" r="16" customHeight="1" ht="18.75">
      <c r="A16" s="15"/>
      <c r="B16" s="15"/>
      <c r="C16" s="16"/>
      <c r="D16" s="17"/>
      <c r="E16" s="17"/>
      <c r="F16" s="18"/>
    </row>
    <row x14ac:dyDescent="0.25" r="17" customHeight="1" ht="15.75">
      <c r="A17" s="19" t="s">
        <v>6</v>
      </c>
      <c r="B17" s="19"/>
      <c r="C17" s="10">
        <f>AVERAGE(Table3[berat/keliling])</f>
      </c>
      <c r="D17" s="17"/>
      <c r="E17" s="17"/>
      <c r="F17" s="18"/>
    </row>
  </sheetData>
  <mergeCells count="1">
    <mergeCell ref="A17:B17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9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20" width="13.576428571428572" customWidth="1" bestFit="1"/>
    <col min="2" max="2" style="20" width="13.576428571428572" customWidth="1" bestFit="1"/>
    <col min="3" max="3" style="21" width="13.576428571428572" customWidth="1" bestFit="1"/>
    <col min="4" max="4" style="22" width="13.576428571428572" customWidth="1" bestFit="1"/>
    <col min="5" max="5" style="22" width="13.576428571428572" customWidth="1" bestFit="1"/>
    <col min="6" max="6" style="23" width="13.576428571428572" customWidth="1" bestFit="1"/>
  </cols>
  <sheetData>
    <row x14ac:dyDescent="0.25" r="1" customHeight="1" ht="22.5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 t="s">
        <v>5</v>
      </c>
    </row>
    <row x14ac:dyDescent="0.25" r="2" customHeight="1" ht="18.75">
      <c r="A2" s="6">
        <v>1</v>
      </c>
      <c r="B2" s="7">
        <v>34</v>
      </c>
      <c r="C2" s="7">
        <v>14</v>
      </c>
      <c r="D2" s="7">
        <v>740</v>
      </c>
      <c r="E2" s="8">
        <f>2*(Table2[[#This Row], [panjang]]+Table2[[#This Row], [lebar]])</f>
      </c>
      <c r="F2" s="9">
        <f>Table2[[#This Row], [berat]]/Table2[[#This Row], [keliling]]</f>
      </c>
    </row>
    <row x14ac:dyDescent="0.25" r="3" customHeight="1" ht="18.75">
      <c r="A3" s="6">
        <v>2</v>
      </c>
      <c r="B3" s="7">
        <v>29</v>
      </c>
      <c r="C3" s="7">
        <v>12</v>
      </c>
      <c r="D3" s="7">
        <v>500</v>
      </c>
      <c r="E3" s="8">
        <f>2*(Table2[[#This Row], [panjang]]+Table2[[#This Row], [lebar]])</f>
      </c>
      <c r="F3" s="10">
        <f>Table2[[#This Row], [berat]]/Table2[[#This Row], [keliling]]</f>
      </c>
    </row>
    <row x14ac:dyDescent="0.25" r="4" customHeight="1" ht="18.75">
      <c r="A4" s="6">
        <v>3</v>
      </c>
      <c r="B4" s="7">
        <v>37</v>
      </c>
      <c r="C4" s="7">
        <v>12</v>
      </c>
      <c r="D4" s="7">
        <v>764</v>
      </c>
      <c r="E4" s="8">
        <f>2*(Table2[[#This Row], [panjang]]+Table2[[#This Row], [lebar]])</f>
      </c>
      <c r="F4" s="10">
        <f>Table2[[#This Row], [berat]]/Table2[[#This Row], [keliling]]</f>
      </c>
    </row>
    <row x14ac:dyDescent="0.25" r="5" customHeight="1" ht="18.75">
      <c r="A5" s="6">
        <v>4</v>
      </c>
      <c r="B5" s="7">
        <v>31</v>
      </c>
      <c r="C5" s="7">
        <v>10</v>
      </c>
      <c r="D5" s="7">
        <v>464</v>
      </c>
      <c r="E5" s="8">
        <f>2*(Table2[[#This Row], [panjang]]+Table2[[#This Row], [lebar]])</f>
      </c>
      <c r="F5" s="10">
        <f>Table2[[#This Row], [berat]]/Table2[[#This Row], [keliling]]</f>
      </c>
    </row>
    <row x14ac:dyDescent="0.25" r="6" customHeight="1" ht="18.75">
      <c r="A6" s="6">
        <v>5</v>
      </c>
      <c r="B6" s="7">
        <v>24</v>
      </c>
      <c r="C6" s="7">
        <v>7</v>
      </c>
      <c r="D6" s="7">
        <v>230</v>
      </c>
      <c r="E6" s="8">
        <f>2*(Table2[[#This Row], [panjang]]+Table2[[#This Row], [lebar]])</f>
      </c>
      <c r="F6" s="10">
        <f>Table2[[#This Row], [berat]]/Table2[[#This Row], [keliling]]</f>
      </c>
    </row>
    <row x14ac:dyDescent="0.25" r="7" customHeight="1" ht="19.5">
      <c r="A7" s="11">
        <v>6</v>
      </c>
      <c r="B7" s="12">
        <v>26</v>
      </c>
      <c r="C7" s="12">
        <v>8</v>
      </c>
      <c r="D7" s="12">
        <v>312</v>
      </c>
      <c r="E7" s="13">
        <f>2*(Table2[[#This Row], [panjang]]+Table2[[#This Row], [lebar]])</f>
      </c>
      <c r="F7" s="14">
        <f>Table2[[#This Row], [berat]]/Table2[[#This Row], [keliling]]</f>
      </c>
    </row>
    <row x14ac:dyDescent="0.25" r="8" customHeight="1" ht="18.75">
      <c r="A8" s="15"/>
      <c r="B8" s="15"/>
      <c r="C8" s="16"/>
      <c r="D8" s="17"/>
      <c r="E8" s="17"/>
      <c r="F8" s="18"/>
    </row>
    <row x14ac:dyDescent="0.25" r="9" customHeight="1" ht="19.5">
      <c r="A9" s="19" t="s">
        <v>6</v>
      </c>
      <c r="B9" s="19"/>
      <c r="C9" s="10">
        <f>AVERAGE(Table2[berat/keliling])</f>
      </c>
      <c r="D9" s="17"/>
      <c r="E9" s="17"/>
      <c r="F9" s="18"/>
    </row>
  </sheetData>
  <mergeCells count="1">
    <mergeCell ref="A9:B9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Nila</vt:lpstr>
      <vt:lpstr>Lele</vt:lpstr>
      <vt:lpstr>Mas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2026-04-02T13:11:04.810Z</dcterms:created>
  <dcterms:modified xsi:type="dcterms:W3CDTF">2026-04-02T13:11:04.810Z</dcterms:modified>
</cp:coreProperties>
</file>